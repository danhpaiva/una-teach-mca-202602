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03"/>
  <workbookPr/>
  <mc:AlternateContent xmlns:mc="http://schemas.openxmlformats.org/markup-compatibility/2006">
    <mc:Choice Requires="x15">
      <x15ac:absPath xmlns:x15ac="http://schemas.microsoft.com/office/spreadsheetml/2010/11/ac" url="https://animaedu-my.sharepoint.com/personal/rafaela_cruz_ulife_com_br/Documents/UNIDADES CURRICULARES/MS/MS - CONTAGEM 2025.2/AULAS/"/>
    </mc:Choice>
  </mc:AlternateContent>
  <xr:revisionPtr revIDLastSave="0" documentId="8_{E1062192-62AA-496B-A51C-AA3C875AEAE1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Cronograma de Aulas" sheetId="1" r:id="rId1"/>
    <sheet name="Notas - UNA" sheetId="2" r:id="rId2"/>
  </sheets>
  <definedNames>
    <definedName name="_xlnm._FilterDatabase" localSheetId="0" hidden="1">'Cronograma de Aulas'!$A$2:$G$27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6" i="2"/>
  <c r="H7" i="2"/>
  <c r="H9" i="2"/>
  <c r="H10" i="2"/>
  <c r="H14" i="2"/>
  <c r="H16" i="2"/>
  <c r="H18" i="2"/>
  <c r="H19" i="2"/>
  <c r="H20" i="2"/>
  <c r="H22" i="2"/>
  <c r="H23" i="2"/>
  <c r="H24" i="2"/>
  <c r="H25" i="2"/>
  <c r="H28" i="2"/>
  <c r="H29" i="2"/>
  <c r="H30" i="2"/>
  <c r="H32" i="2"/>
  <c r="H33" i="2"/>
  <c r="H35" i="2"/>
  <c r="H36" i="2"/>
  <c r="H37" i="2"/>
  <c r="H41" i="2"/>
  <c r="H45" i="2"/>
  <c r="H46" i="2"/>
  <c r="H48" i="2"/>
  <c r="H52" i="2"/>
  <c r="H54" i="2"/>
  <c r="H58" i="2"/>
  <c r="H62" i="2"/>
  <c r="H63" i="2"/>
  <c r="I63" i="2"/>
  <c r="I62" i="2"/>
  <c r="I58" i="2"/>
  <c r="I54" i="2"/>
  <c r="I52" i="2"/>
  <c r="I48" i="2"/>
  <c r="I46" i="2"/>
  <c r="I45" i="2"/>
  <c r="I41" i="2"/>
  <c r="I37" i="2"/>
  <c r="I36" i="2"/>
  <c r="I35" i="2"/>
  <c r="I33" i="2"/>
  <c r="I32" i="2"/>
  <c r="I30" i="2"/>
  <c r="I29" i="2"/>
  <c r="I28" i="2"/>
  <c r="I25" i="2"/>
  <c r="I24" i="2"/>
  <c r="I23" i="2"/>
  <c r="I22" i="2"/>
  <c r="I20" i="2"/>
  <c r="I19" i="2"/>
  <c r="I18" i="2"/>
  <c r="I16" i="2"/>
  <c r="I14" i="2"/>
  <c r="I10" i="2"/>
  <c r="I9" i="2"/>
  <c r="I7" i="2"/>
  <c r="I6" i="2"/>
  <c r="I4" i="2"/>
  <c r="I3" i="2"/>
  <c r="J63" i="2"/>
  <c r="K63" i="2"/>
  <c r="J62" i="2"/>
  <c r="K62" i="2"/>
  <c r="J58" i="2"/>
  <c r="K58" i="2"/>
  <c r="J54" i="2"/>
  <c r="K54" i="2"/>
  <c r="J52" i="2"/>
  <c r="K52" i="2"/>
  <c r="J48" i="2"/>
  <c r="K48" i="2"/>
  <c r="J46" i="2"/>
  <c r="K46" i="2"/>
  <c r="J45" i="2"/>
  <c r="K45" i="2"/>
  <c r="J41" i="2"/>
  <c r="K41" i="2"/>
  <c r="J37" i="2"/>
  <c r="K37" i="2"/>
  <c r="D63" i="2"/>
  <c r="L63" i="2"/>
  <c r="D62" i="2"/>
  <c r="L62" i="2"/>
  <c r="D58" i="2"/>
  <c r="L58" i="2"/>
  <c r="D54" i="2"/>
  <c r="L54" i="2"/>
  <c r="D52" i="2"/>
  <c r="L52" i="2"/>
  <c r="D48" i="2"/>
  <c r="L48" i="2"/>
  <c r="D46" i="2"/>
  <c r="L46" i="2"/>
  <c r="D45" i="2"/>
  <c r="L45" i="2"/>
  <c r="D41" i="2"/>
  <c r="L41" i="2"/>
  <c r="D37" i="2"/>
  <c r="L37" i="2"/>
  <c r="D3" i="2"/>
  <c r="D4" i="2"/>
  <c r="D6" i="2"/>
  <c r="D7" i="2"/>
  <c r="D9" i="2"/>
  <c r="D10" i="2"/>
  <c r="D14" i="2"/>
  <c r="D16" i="2"/>
  <c r="D18" i="2"/>
  <c r="D19" i="2"/>
  <c r="D20" i="2"/>
  <c r="D22" i="2"/>
  <c r="D23" i="2"/>
  <c r="D24" i="2"/>
  <c r="D25" i="2"/>
  <c r="D28" i="2"/>
  <c r="D29" i="2"/>
  <c r="D30" i="2"/>
  <c r="D32" i="2"/>
  <c r="D33" i="2"/>
  <c r="D35" i="2"/>
  <c r="D36" i="2"/>
  <c r="J3" i="2"/>
  <c r="K3" i="2"/>
  <c r="L3" i="2"/>
  <c r="J4" i="2"/>
  <c r="K4" i="2"/>
  <c r="L4" i="2"/>
  <c r="J6" i="2"/>
  <c r="K6" i="2"/>
  <c r="L6" i="2"/>
  <c r="J7" i="2"/>
  <c r="K7" i="2"/>
  <c r="L7" i="2"/>
  <c r="J9" i="2"/>
  <c r="K9" i="2"/>
  <c r="L9" i="2"/>
  <c r="J10" i="2"/>
  <c r="K10" i="2"/>
  <c r="L10" i="2"/>
  <c r="J14" i="2"/>
  <c r="K14" i="2"/>
  <c r="L14" i="2"/>
  <c r="J16" i="2"/>
  <c r="K16" i="2"/>
  <c r="L16" i="2"/>
  <c r="J18" i="2"/>
  <c r="K18" i="2"/>
  <c r="L18" i="2"/>
  <c r="J19" i="2"/>
  <c r="K19" i="2"/>
  <c r="L19" i="2"/>
  <c r="J20" i="2"/>
  <c r="K20" i="2"/>
  <c r="L20" i="2"/>
  <c r="J22" i="2"/>
  <c r="K22" i="2"/>
  <c r="L22" i="2"/>
  <c r="J23" i="2"/>
  <c r="K23" i="2"/>
  <c r="L23" i="2"/>
  <c r="J24" i="2"/>
  <c r="K24" i="2"/>
  <c r="L24" i="2"/>
  <c r="J25" i="2"/>
  <c r="K25" i="2"/>
  <c r="L25" i="2"/>
  <c r="J28" i="2"/>
  <c r="K28" i="2"/>
  <c r="L28" i="2"/>
  <c r="J29" i="2"/>
  <c r="K29" i="2"/>
  <c r="L29" i="2"/>
  <c r="J30" i="2"/>
  <c r="K30" i="2"/>
  <c r="L30" i="2"/>
  <c r="J32" i="2"/>
  <c r="K32" i="2"/>
  <c r="L32" i="2"/>
  <c r="J33" i="2"/>
  <c r="K33" i="2"/>
  <c r="L33" i="2"/>
  <c r="J35" i="2"/>
  <c r="K35" i="2"/>
  <c r="L35" i="2"/>
  <c r="J36" i="2"/>
  <c r="K36" i="2"/>
  <c r="L36" i="2"/>
</calcChain>
</file>

<file path=xl/sharedStrings.xml><?xml version="1.0" encoding="utf-8"?>
<sst xmlns="http://schemas.openxmlformats.org/spreadsheetml/2006/main" count="190" uniqueCount="97">
  <si>
    <t>Cronograma UC Algoritmos e Programação</t>
  </si>
  <si>
    <t>Semana</t>
  </si>
  <si>
    <t>Data</t>
  </si>
  <si>
    <t>Tema</t>
  </si>
  <si>
    <t>Professor</t>
  </si>
  <si>
    <t>Observações</t>
  </si>
  <si>
    <t>Materiais de Apoio</t>
  </si>
  <si>
    <t>Segunda</t>
  </si>
  <si>
    <t>Apresentação da UC
Fundamentos de algoritmos e lógica: conceitos</t>
  </si>
  <si>
    <t>RAFAELA</t>
  </si>
  <si>
    <t>Terça</t>
  </si>
  <si>
    <t>Lógica</t>
  </si>
  <si>
    <t>-</t>
  </si>
  <si>
    <t>FERIADO CARNAVAL</t>
  </si>
  <si>
    <t>Dinâmica e Lógica de Programação</t>
  </si>
  <si>
    <t>https://portugol.dev/</t>
  </si>
  <si>
    <t>Lógica de Programação e Fluxograma</t>
  </si>
  <si>
    <t>Lógica Proposicional - Tabela-verdade</t>
  </si>
  <si>
    <t>Pseudocódigo e boas práticas de construção de algoritmos</t>
  </si>
  <si>
    <t>Tipos de dados primitivos e compostos: variáveis, constantes, registros e operações de manipulação em linguagens de programação;</t>
  </si>
  <si>
    <t>Java + GITHUB</t>
  </si>
  <si>
    <t>Estruturas de controle: comandos de decisão - IF-ELSE</t>
  </si>
  <si>
    <t>Estruturas de controle: comandos de decisão - SWITCH CASE</t>
  </si>
  <si>
    <t>Estruturas de controle: comandos de repetição - WHILE E DO-WHILE</t>
  </si>
  <si>
    <t>Estruturas de controle: comandos de repetição - FOR E FOREACH</t>
  </si>
  <si>
    <t xml:space="preserve">Estruturas de dados básicas: manipulação de vetores </t>
  </si>
  <si>
    <t>FERIADO TIRADENTES</t>
  </si>
  <si>
    <t>Estruturas de dados básicas: manipulação de matrizes</t>
  </si>
  <si>
    <t>Modularização de programas: funções, procedimentos, parâmetros e escopo de variáveis para organização do código;</t>
  </si>
  <si>
    <t xml:space="preserve">A1 (1a Oport.) </t>
  </si>
  <si>
    <t>Estruturas de dados básicas: manipulação de vetores e matrizes, aplicações em algoritmos numéricos e de ordenação simples;</t>
  </si>
  <si>
    <t>Programação orientada a objetos: conceitos de classes, objetos, métodos e atributos</t>
  </si>
  <si>
    <t>Programação orientada a objetos: conceitos de construtores e métodos de acesso e modificadores.</t>
  </si>
  <si>
    <t>Programação orientada a objetos: conceitos de encapsulamento e abstração</t>
  </si>
  <si>
    <t>Princípios de herança, polimorfismo e reutilização de código: estratégias para modularidade e eficiência no desenvolvimento;</t>
  </si>
  <si>
    <t>MARATONA DE PROGRAMAÇÃO</t>
  </si>
  <si>
    <t>Revisão A2</t>
  </si>
  <si>
    <t xml:space="preserve">A2 (1a Oport.) </t>
  </si>
  <si>
    <t>FEEDBACK DE NOTAS</t>
  </si>
  <si>
    <t>Outras Datas Importantes</t>
  </si>
  <si>
    <t>Avaliações</t>
  </si>
  <si>
    <t>04/05 - 16/05</t>
  </si>
  <si>
    <t xml:space="preserve">A1 (2a Oport.) </t>
  </si>
  <si>
    <t>25/05 - 30/05</t>
  </si>
  <si>
    <t>22/06 - 23/06</t>
  </si>
  <si>
    <t xml:space="preserve">A2 (2a Oport.) </t>
  </si>
  <si>
    <t xml:space="preserve">Lançamento A3 </t>
  </si>
  <si>
    <t>Eventos</t>
  </si>
  <si>
    <t xml:space="preserve">Tech Week </t>
  </si>
  <si>
    <t>Distribuição de Pontos</t>
  </si>
  <si>
    <t>A1 - 2 provas por turma (todos os profs criam questão)</t>
  </si>
  <si>
    <t>A2 - Todos profs</t>
  </si>
  <si>
    <t>A3 
- 10 pts (Maratona entre turmas - caso não termine no dia, prazo para entrega no dia seguinte)
- 10 pts Dreamshaper
- 20 pts (10 pts para cada prof - exercícios em sala, prazo de entrega todo domingo 23:59)</t>
  </si>
  <si>
    <t>Nome</t>
  </si>
  <si>
    <t>A1 - 30 pts</t>
  </si>
  <si>
    <t>Percentual</t>
  </si>
  <si>
    <t>A2 - 30 pts</t>
  </si>
  <si>
    <t>A2 - 30 pts2</t>
  </si>
  <si>
    <t>A3 - 20 pts (projeto)</t>
  </si>
  <si>
    <t>A3 - 10 pts (Oracle)</t>
  </si>
  <si>
    <t>A3 -  10 pts (Online)</t>
  </si>
  <si>
    <t>A3 - Final</t>
  </si>
  <si>
    <t>Percentual2</t>
  </si>
  <si>
    <t>Total</t>
  </si>
  <si>
    <t>Adriano Artur de Carvalho</t>
  </si>
  <si>
    <t>Severino</t>
  </si>
  <si>
    <t>Alex Vitor dos Reis</t>
  </si>
  <si>
    <t>Arthur de Souza Joaquim</t>
  </si>
  <si>
    <t>Arthur Felipe Pereira de Ara˙jo</t>
  </si>
  <si>
    <t>Arthur Marques Diniz</t>
  </si>
  <si>
    <t>Bernardo Luiz Monteverde GonÁalves</t>
  </si>
  <si>
    <t>Charles Henrique Rodrigues Alves</t>
  </si>
  <si>
    <t>Eduardo Cunha Siqueira</t>
  </si>
  <si>
    <t>Esdras Fonseca GonÁalves</t>
  </si>
  <si>
    <t>Gabriel Gobira de Souza</t>
  </si>
  <si>
    <t>Gabriel Gomes de Carvalho</t>
  </si>
  <si>
    <t>Gabriel Sena Souza</t>
  </si>
  <si>
    <t>Gabriel Souza Felix</t>
  </si>
  <si>
    <t>Gian Lucca Santos Goncalves</t>
  </si>
  <si>
    <t>Giovanna Caldeira da Silva</t>
  </si>
  <si>
    <t>Gustavo Henrique de Oliveira Alves</t>
  </si>
  <si>
    <t>Gustavo Michael Alves Pereira</t>
  </si>
  <si>
    <t>Heitor Abreu Ramos</t>
  </si>
  <si>
    <t>Jhonny Ronald Ferreira dos Santos</t>
  </si>
  <si>
    <t>João Henrique GonÁalves Miranda</t>
  </si>
  <si>
    <t>Lorran Rodrigues Vieira Martins</t>
  </si>
  <si>
    <t>Luca Fernandes Valadares</t>
  </si>
  <si>
    <t>Lucas Paiva Magalhães</t>
  </si>
  <si>
    <t>Marcella Anataniel Souza</t>
  </si>
  <si>
    <t>Mateus Célio Mafra</t>
  </si>
  <si>
    <t>Matheus Eduardo Marinho de Miranda Hermenegildo</t>
  </si>
  <si>
    <t>Patrick Oliveira Rabelo de Brito</t>
  </si>
  <si>
    <t>Pedro Lucas Rodrigues da Silva</t>
  </si>
  <si>
    <t>Rafael Bruno de Sousa</t>
  </si>
  <si>
    <t>Samuel Victor GonÁalves da Silva</t>
  </si>
  <si>
    <t>Vitor Hugo Xavier Afonso dos Santos</t>
  </si>
  <si>
    <t>William Lázaro Oliveira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</si>
</sst>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;@"/>
    <numFmt numFmtId="165" formatCode="yyyy\-mm\-dd;@"/>
    <numFmt numFmtId="166" formatCode="d/m/yy;@"/>
  </numFmts>
  <fonts count="53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2"/>
      <color rgb="FF5A277B"/>
      <name val="Segoe UI"/>
      <charset val="1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sz val="10"/>
      <color rgb="FF000000"/>
      <name val="Arial"/>
      <family val="2"/>
    </font>
    <font>
      <b/>
      <sz val="11"/>
      <color theme="1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0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0070C0"/>
      <name val="Arial"/>
      <family val="2"/>
    </font>
    <font>
      <sz val="12"/>
      <color rgb="FF000000"/>
      <name val="Aptos Narrow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rgb="FFFF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rgb="FFFFFFFF"/>
      <name val="Arial"/>
      <charset val="1"/>
    </font>
    <font>
      <sz val="11"/>
      <color theme="1"/>
      <name val="Arial"/>
      <charset val="1"/>
    </font>
    <font>
      <sz val="11"/>
      <color rgb="FF000000"/>
      <name val="Arial"/>
      <charset val="1"/>
    </font>
    <font>
      <sz val="11"/>
      <color rgb="FF000000"/>
      <name val="Aptos Display"/>
      <charset val="1"/>
    </font>
    <font>
      <sz val="11"/>
      <color rgb="FF000000"/>
      <name val="Calibri"/>
      <charset val="1"/>
    </font>
    <font>
      <sz val="11"/>
      <color theme="1"/>
      <name val="Aptos Display"/>
    </font>
    <font>
      <sz val="11"/>
      <color theme="1"/>
      <name val="Calibri"/>
      <charset val="1"/>
    </font>
    <font>
      <b/>
      <sz val="11"/>
      <color rgb="FFFF0000"/>
      <name val="Arial"/>
      <charset val="1"/>
    </font>
    <font>
      <b/>
      <sz val="11"/>
      <color rgb="FFFF0000"/>
      <name val="Aptos Display"/>
    </font>
    <font>
      <b/>
      <sz val="11"/>
      <color rgb="FFFF0000"/>
      <name val="Calibri"/>
      <charset val="1"/>
    </font>
    <font>
      <sz val="11"/>
      <color rgb="FF000000"/>
      <name val="Aptos Display"/>
    </font>
    <font>
      <sz val="10"/>
      <color rgb="FF000000"/>
      <name val="Arial"/>
      <charset val="1"/>
    </font>
    <font>
      <b/>
      <sz val="11"/>
      <color rgb="FFFF0000"/>
      <name val="Aptos Narrow"/>
      <family val="2"/>
      <scheme val="minor"/>
    </font>
    <font>
      <b/>
      <sz val="11"/>
      <color rgb="FF0070C0"/>
      <name val="Aptos Display"/>
    </font>
    <font>
      <b/>
      <sz val="11"/>
      <color theme="5"/>
      <name val="Aptos Narrow"/>
      <family val="2"/>
      <scheme val="minor"/>
    </font>
    <font>
      <b/>
      <sz val="11"/>
      <color theme="5"/>
      <name val="Calibri"/>
      <charset val="1"/>
    </font>
    <font>
      <b/>
      <sz val="10"/>
      <color theme="5"/>
      <name val="Arial"/>
      <charset val="1"/>
    </font>
    <font>
      <b/>
      <sz val="10"/>
      <color rgb="FF000000"/>
      <name val="Arial"/>
      <charset val="1"/>
    </font>
    <font>
      <b/>
      <sz val="10"/>
      <color rgb="FFFF0000"/>
      <name val="Arial"/>
      <charset val="1"/>
    </font>
    <font>
      <b/>
      <sz val="11"/>
      <color rgb="FF0070C0"/>
      <name val="Arial"/>
      <charset val="1"/>
    </font>
    <font>
      <b/>
      <sz val="11"/>
      <color rgb="FF0070C0"/>
      <name val="Aptos Narrow"/>
      <family val="2"/>
      <scheme val="minor"/>
    </font>
    <font>
      <b/>
      <sz val="11"/>
      <color rgb="FF0070C0"/>
      <name val="Calibri"/>
      <charset val="1"/>
    </font>
    <font>
      <sz val="11"/>
      <color rgb="FF000000"/>
      <name val="Aptos Narrow"/>
      <charset val="1"/>
    </font>
    <font>
      <b/>
      <sz val="11"/>
      <color rgb="FF000000"/>
      <name val="Aptos Narrow"/>
      <family val="2"/>
      <scheme val="minor"/>
    </font>
    <font>
      <b/>
      <sz val="10"/>
      <color rgb="FF0070C0"/>
      <name val="Arial"/>
      <charset val="1"/>
    </font>
    <font>
      <b/>
      <sz val="11"/>
      <color rgb="FFFF0000"/>
      <name val="Arial"/>
    </font>
    <font>
      <sz val="9"/>
      <color theme="1"/>
      <name val="Arial"/>
    </font>
    <font>
      <i/>
      <sz val="6"/>
      <color theme="1"/>
      <name val="Helvetica"/>
      <charset val="1"/>
    </font>
    <font>
      <b/>
      <sz val="11"/>
      <color rgb="FF7030A0"/>
      <name val="Aptos Narrow"/>
      <family val="2"/>
      <scheme val="minor"/>
    </font>
    <font>
      <b/>
      <sz val="11"/>
      <color rgb="FF7030A0"/>
      <name val="Arial"/>
      <charset val="1"/>
    </font>
    <font>
      <b/>
      <sz val="11"/>
      <color rgb="FF000000"/>
      <name val="Aptos Narrow"/>
      <scheme val="minor"/>
    </font>
    <font>
      <b/>
      <sz val="11"/>
      <color theme="4"/>
      <name val="Aptos Display"/>
    </font>
    <font>
      <b/>
      <sz val="11"/>
      <color theme="4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143">
    <xf numFmtId="0" fontId="0" fillId="0" borderId="0" xfId="0"/>
    <xf numFmtId="0" fontId="4" fillId="0" borderId="0" xfId="0" applyFont="1"/>
    <xf numFmtId="0" fontId="2" fillId="0" borderId="3" xfId="0" applyFont="1" applyBorder="1" applyAlignment="1">
      <alignment wrapText="1" readingOrder="1"/>
    </xf>
    <xf numFmtId="0" fontId="0" fillId="0" borderId="3" xfId="0" applyBorder="1"/>
    <xf numFmtId="0" fontId="8" fillId="0" borderId="3" xfId="0" applyFont="1" applyBorder="1"/>
    <xf numFmtId="0" fontId="0" fillId="0" borderId="1" xfId="0" applyBorder="1"/>
    <xf numFmtId="0" fontId="8" fillId="0" borderId="3" xfId="0" applyFont="1" applyBorder="1" applyAlignment="1">
      <alignment horizontal="center"/>
    </xf>
    <xf numFmtId="0" fontId="0" fillId="0" borderId="4" xfId="0" applyBorder="1"/>
    <xf numFmtId="0" fontId="3" fillId="0" borderId="3" xfId="0" applyFont="1" applyBorder="1" applyAlignment="1">
      <alignment wrapText="1" readingOrder="1"/>
    </xf>
    <xf numFmtId="0" fontId="5" fillId="0" borderId="3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7" fillId="0" borderId="3" xfId="0" applyFont="1" applyBorder="1" applyAlignment="1">
      <alignment wrapText="1" readingOrder="1"/>
    </xf>
    <xf numFmtId="0" fontId="9" fillId="0" borderId="3" xfId="0" applyFont="1" applyBorder="1"/>
    <xf numFmtId="0" fontId="6" fillId="0" borderId="3" xfId="0" applyFont="1" applyBorder="1" applyAlignment="1">
      <alignment wrapText="1" readingOrder="1"/>
    </xf>
    <xf numFmtId="0" fontId="10" fillId="0" borderId="3" xfId="0" applyFont="1" applyBorder="1"/>
    <xf numFmtId="0" fontId="9" fillId="0" borderId="3" xfId="0" applyFont="1" applyBorder="1" applyAlignment="1">
      <alignment wrapText="1"/>
    </xf>
    <xf numFmtId="164" fontId="0" fillId="0" borderId="0" xfId="0" applyNumberFormat="1" applyAlignment="1">
      <alignment horizontal="left"/>
    </xf>
    <xf numFmtId="0" fontId="15" fillId="0" borderId="0" xfId="0" applyFon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9" fontId="8" fillId="0" borderId="3" xfId="0" applyNumberFormat="1" applyFont="1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4" xfId="0" applyNumberFormat="1" applyBorder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3" xfId="0" applyBorder="1" applyAlignment="1">
      <alignment horizontal="right"/>
    </xf>
    <xf numFmtId="0" fontId="0" fillId="0" borderId="5" xfId="0" applyBorder="1"/>
    <xf numFmtId="0" fontId="8" fillId="0" borderId="5" xfId="0" applyFont="1" applyBorder="1" applyAlignment="1">
      <alignment horizontal="center"/>
    </xf>
    <xf numFmtId="9" fontId="8" fillId="0" borderId="5" xfId="0" applyNumberFormat="1" applyFont="1" applyBorder="1" applyAlignment="1">
      <alignment horizontal="center"/>
    </xf>
    <xf numFmtId="9" fontId="0" fillId="0" borderId="5" xfId="0" applyNumberFormat="1" applyBorder="1"/>
    <xf numFmtId="9" fontId="0" fillId="0" borderId="3" xfId="0" applyNumberFormat="1" applyBorder="1"/>
    <xf numFmtId="9" fontId="0" fillId="0" borderId="4" xfId="0" applyNumberFormat="1" applyBorder="1"/>
    <xf numFmtId="9" fontId="0" fillId="0" borderId="0" xfId="0" applyNumberFormat="1"/>
    <xf numFmtId="9" fontId="8" fillId="0" borderId="3" xfId="0" applyNumberFormat="1" applyFont="1" applyBorder="1"/>
    <xf numFmtId="1" fontId="8" fillId="0" borderId="3" xfId="0" applyNumberFormat="1" applyFont="1" applyBorder="1"/>
    <xf numFmtId="1" fontId="0" fillId="0" borderId="3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16" fillId="0" borderId="3" xfId="0" applyNumberFormat="1" applyFont="1" applyBorder="1" applyAlignment="1">
      <alignment horizontal="center"/>
    </xf>
    <xf numFmtId="9" fontId="16" fillId="0" borderId="3" xfId="0" applyNumberFormat="1" applyFont="1" applyBorder="1"/>
    <xf numFmtId="0" fontId="16" fillId="0" borderId="3" xfId="0" applyFont="1" applyBorder="1"/>
    <xf numFmtId="0" fontId="0" fillId="0" borderId="0" xfId="0" applyAlignment="1">
      <alignment vertical="center"/>
    </xf>
    <xf numFmtId="0" fontId="14" fillId="0" borderId="3" xfId="0" applyFon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/>
    </xf>
    <xf numFmtId="0" fontId="20" fillId="3" borderId="3" xfId="0" applyFont="1" applyFill="1" applyBorder="1" applyAlignment="1">
      <alignment horizontal="center" wrapText="1" readingOrder="1"/>
    </xf>
    <xf numFmtId="0" fontId="20" fillId="3" borderId="3" xfId="0" applyFont="1" applyFill="1" applyBorder="1" applyAlignment="1">
      <alignment readingOrder="1"/>
    </xf>
    <xf numFmtId="165" fontId="20" fillId="3" borderId="4" xfId="0" applyNumberFormat="1" applyFont="1" applyFill="1" applyBorder="1" applyAlignment="1">
      <alignment horizontal="left" readingOrder="1"/>
    </xf>
    <xf numFmtId="0" fontId="20" fillId="3" borderId="4" xfId="0" applyFont="1" applyFill="1" applyBorder="1" applyAlignment="1">
      <alignment readingOrder="1"/>
    </xf>
    <xf numFmtId="0" fontId="20" fillId="3" borderId="4" xfId="0" applyFont="1" applyFill="1" applyBorder="1" applyAlignment="1">
      <alignment wrapText="1" readingOrder="1"/>
    </xf>
    <xf numFmtId="0" fontId="22" fillId="2" borderId="1" xfId="0" applyFont="1" applyFill="1" applyBorder="1" applyAlignment="1">
      <alignment readingOrder="1"/>
    </xf>
    <xf numFmtId="166" fontId="22" fillId="0" borderId="3" xfId="0" applyNumberFormat="1" applyFont="1" applyBorder="1" applyAlignment="1">
      <alignment horizontal="left" readingOrder="1"/>
    </xf>
    <xf numFmtId="0" fontId="24" fillId="0" borderId="3" xfId="0" applyFont="1" applyBorder="1" applyAlignment="1">
      <alignment readingOrder="1"/>
    </xf>
    <xf numFmtId="0" fontId="21" fillId="2" borderId="1" xfId="0" applyFont="1" applyFill="1" applyBorder="1" applyAlignment="1">
      <alignment readingOrder="1"/>
    </xf>
    <xf numFmtId="166" fontId="21" fillId="0" borderId="3" xfId="0" applyNumberFormat="1" applyFont="1" applyBorder="1" applyAlignment="1">
      <alignment horizontal="left" readingOrder="1"/>
    </xf>
    <xf numFmtId="0" fontId="26" fillId="0" borderId="3" xfId="0" applyFont="1" applyBorder="1" applyAlignment="1">
      <alignment wrapText="1" readingOrder="1"/>
    </xf>
    <xf numFmtId="0" fontId="29" fillId="0" borderId="3" xfId="0" applyFont="1" applyBorder="1" applyAlignment="1">
      <alignment wrapText="1" readingOrder="1"/>
    </xf>
    <xf numFmtId="0" fontId="24" fillId="0" borderId="3" xfId="0" applyFont="1" applyBorder="1" applyAlignment="1">
      <alignment wrapText="1" readingOrder="1"/>
    </xf>
    <xf numFmtId="0" fontId="22" fillId="0" borderId="3" xfId="0" applyFont="1" applyBorder="1" applyAlignment="1">
      <alignment wrapText="1" readingOrder="1"/>
    </xf>
    <xf numFmtId="0" fontId="31" fillId="0" borderId="3" xfId="0" applyFont="1" applyBorder="1" applyAlignment="1">
      <alignment wrapText="1" readingOrder="1"/>
    </xf>
    <xf numFmtId="0" fontId="32" fillId="0" borderId="3" xfId="0" applyFont="1" applyBorder="1"/>
    <xf numFmtId="0" fontId="32" fillId="0" borderId="3" xfId="0" applyFont="1" applyBorder="1" applyAlignment="1">
      <alignment horizontal="center"/>
    </xf>
    <xf numFmtId="0" fontId="34" fillId="0" borderId="3" xfId="0" applyFont="1" applyBorder="1"/>
    <xf numFmtId="0" fontId="36" fillId="0" borderId="3" xfId="0" applyFont="1" applyBorder="1" applyAlignment="1">
      <alignment wrapText="1" readingOrder="1"/>
    </xf>
    <xf numFmtId="0" fontId="37" fillId="0" borderId="3" xfId="0" applyFont="1" applyBorder="1" applyAlignment="1">
      <alignment wrapText="1" readingOrder="1"/>
    </xf>
    <xf numFmtId="0" fontId="38" fillId="0" borderId="3" xfId="0" applyFont="1" applyBorder="1" applyAlignment="1">
      <alignment wrapText="1" readingOrder="1"/>
    </xf>
    <xf numFmtId="0" fontId="39" fillId="2" borderId="1" xfId="0" applyFont="1" applyFill="1" applyBorder="1" applyAlignment="1">
      <alignment readingOrder="1"/>
    </xf>
    <xf numFmtId="166" fontId="39" fillId="0" borderId="3" xfId="0" applyNumberFormat="1" applyFont="1" applyBorder="1" applyAlignment="1">
      <alignment horizontal="left" readingOrder="1"/>
    </xf>
    <xf numFmtId="0" fontId="40" fillId="0" borderId="3" xfId="0" applyFont="1" applyBorder="1"/>
    <xf numFmtId="0" fontId="42" fillId="0" borderId="3" xfId="0" applyFont="1" applyBorder="1" applyAlignment="1">
      <alignment horizontal="center" vertical="center"/>
    </xf>
    <xf numFmtId="0" fontId="43" fillId="0" borderId="3" xfId="0" applyFont="1" applyBorder="1" applyAlignment="1">
      <alignment wrapText="1"/>
    </xf>
    <xf numFmtId="0" fontId="37" fillId="0" borderId="3" xfId="0" applyFont="1" applyBorder="1" applyAlignment="1">
      <alignment horizontal="center" wrapText="1" readingOrder="1"/>
    </xf>
    <xf numFmtId="0" fontId="37" fillId="2" borderId="3" xfId="0" applyFont="1" applyFill="1" applyBorder="1" applyAlignment="1">
      <alignment horizontal="center" wrapText="1" readingOrder="1"/>
    </xf>
    <xf numFmtId="0" fontId="44" fillId="2" borderId="3" xfId="0" applyFont="1" applyFill="1" applyBorder="1" applyAlignment="1">
      <alignment horizontal="center" wrapText="1" readingOrder="1"/>
    </xf>
    <xf numFmtId="165" fontId="0" fillId="0" borderId="0" xfId="0" applyNumberFormat="1" applyAlignment="1">
      <alignment horizontal="left"/>
    </xf>
    <xf numFmtId="0" fontId="47" fillId="0" borderId="0" xfId="0" applyFont="1"/>
    <xf numFmtId="0" fontId="8" fillId="0" borderId="0" xfId="0" applyFont="1" applyAlignment="1">
      <alignment vertical="center"/>
    </xf>
    <xf numFmtId="0" fontId="19" fillId="0" borderId="0" xfId="1"/>
    <xf numFmtId="0" fontId="21" fillId="0" borderId="0" xfId="0" applyFont="1" applyAlignment="1">
      <alignment readingOrder="1"/>
    </xf>
    <xf numFmtId="0" fontId="39" fillId="2" borderId="0" xfId="0" applyFont="1" applyFill="1" applyAlignment="1">
      <alignment readingOrder="1"/>
    </xf>
    <xf numFmtId="166" fontId="39" fillId="0" borderId="0" xfId="0" applyNumberFormat="1" applyFont="1" applyAlignment="1">
      <alignment horizontal="left" readingOrder="1"/>
    </xf>
    <xf numFmtId="0" fontId="41" fillId="0" borderId="0" xfId="0" applyFont="1" applyAlignment="1">
      <alignment wrapText="1" readingOrder="1"/>
    </xf>
    <xf numFmtId="0" fontId="37" fillId="2" borderId="0" xfId="0" applyFont="1" applyFill="1" applyAlignment="1">
      <alignment horizontal="center" wrapText="1" readingOrder="1"/>
    </xf>
    <xf numFmtId="0" fontId="24" fillId="0" borderId="3" xfId="0" applyFont="1" applyBorder="1" applyAlignment="1">
      <alignment horizontal="center" wrapText="1" readingOrder="1"/>
    </xf>
    <xf numFmtId="166" fontId="39" fillId="0" borderId="1" xfId="0" applyNumberFormat="1" applyFont="1" applyBorder="1" applyAlignment="1">
      <alignment horizontal="left" readingOrder="1"/>
    </xf>
    <xf numFmtId="0" fontId="41" fillId="0" borderId="2" xfId="0" applyFont="1" applyBorder="1" applyAlignment="1">
      <alignment readingOrder="1"/>
    </xf>
    <xf numFmtId="0" fontId="18" fillId="0" borderId="3" xfId="0" applyFont="1" applyBorder="1" applyAlignment="1">
      <alignment wrapText="1" readingOrder="1"/>
    </xf>
    <xf numFmtId="0" fontId="17" fillId="0" borderId="3" xfId="0" applyFont="1" applyBorder="1" applyAlignment="1">
      <alignment wrapText="1" readingOrder="1"/>
    </xf>
    <xf numFmtId="0" fontId="32" fillId="0" borderId="3" xfId="0" applyFont="1" applyBorder="1" applyAlignment="1">
      <alignment wrapText="1"/>
    </xf>
    <xf numFmtId="0" fontId="41" fillId="0" borderId="1" xfId="0" applyFont="1" applyBorder="1" applyAlignment="1">
      <alignment wrapText="1" readingOrder="1"/>
    </xf>
    <xf numFmtId="0" fontId="41" fillId="0" borderId="6" xfId="0" applyFont="1" applyBorder="1" applyAlignment="1">
      <alignment readingOrder="1"/>
    </xf>
    <xf numFmtId="0" fontId="41" fillId="0" borderId="6" xfId="0" applyFont="1" applyBorder="1" applyAlignment="1">
      <alignment wrapText="1" readingOrder="1"/>
    </xf>
    <xf numFmtId="0" fontId="40" fillId="0" borderId="4" xfId="0" applyFont="1" applyBorder="1"/>
    <xf numFmtId="0" fontId="11" fillId="0" borderId="4" xfId="0" applyFont="1" applyBorder="1" applyAlignment="1">
      <alignment horizontal="center" wrapText="1" readingOrder="1"/>
    </xf>
    <xf numFmtId="0" fontId="19" fillId="0" borderId="3" xfId="1" applyBorder="1" applyAlignment="1">
      <alignment wrapText="1" readingOrder="1"/>
    </xf>
    <xf numFmtId="166" fontId="22" fillId="0" borderId="1" xfId="0" applyNumberFormat="1" applyFont="1" applyBorder="1" applyAlignment="1">
      <alignment horizontal="left" readingOrder="1"/>
    </xf>
    <xf numFmtId="166" fontId="27" fillId="0" borderId="1" xfId="0" applyNumberFormat="1" applyFont="1" applyBorder="1" applyAlignment="1">
      <alignment horizontal="left" readingOrder="1"/>
    </xf>
    <xf numFmtId="0" fontId="26" fillId="0" borderId="2" xfId="0" applyFont="1" applyBorder="1" applyAlignment="1">
      <alignment wrapText="1" readingOrder="1"/>
    </xf>
    <xf numFmtId="0" fontId="35" fillId="0" borderId="2" xfId="0" applyFont="1" applyBorder="1" applyAlignment="1">
      <alignment readingOrder="1"/>
    </xf>
    <xf numFmtId="0" fontId="29" fillId="0" borderId="2" xfId="0" applyFont="1" applyBorder="1" applyAlignment="1">
      <alignment wrapText="1" readingOrder="1"/>
    </xf>
    <xf numFmtId="0" fontId="24" fillId="0" borderId="2" xfId="0" applyFont="1" applyBorder="1" applyAlignment="1">
      <alignment readingOrder="1"/>
    </xf>
    <xf numFmtId="0" fontId="24" fillId="0" borderId="6" xfId="0" applyFont="1" applyBorder="1" applyAlignment="1">
      <alignment wrapText="1" readingOrder="1"/>
    </xf>
    <xf numFmtId="0" fontId="40" fillId="0" borderId="0" xfId="0" applyFont="1" applyAlignment="1">
      <alignment vertical="center"/>
    </xf>
    <xf numFmtId="0" fontId="20" fillId="3" borderId="4" xfId="0" applyFont="1" applyFill="1" applyBorder="1" applyAlignment="1">
      <alignment vertical="center" readingOrder="1"/>
    </xf>
    <xf numFmtId="0" fontId="45" fillId="0" borderId="0" xfId="0" applyFont="1" applyAlignment="1">
      <alignment vertical="center"/>
    </xf>
    <xf numFmtId="0" fontId="46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5" fillId="0" borderId="3" xfId="0" applyFont="1" applyBorder="1" applyAlignment="1">
      <alignment horizontal="center" vertical="center"/>
    </xf>
    <xf numFmtId="166" fontId="21" fillId="0" borderId="1" xfId="0" applyNumberFormat="1" applyFont="1" applyBorder="1" applyAlignment="1">
      <alignment horizontal="left" readingOrder="1"/>
    </xf>
    <xf numFmtId="0" fontId="29" fillId="0" borderId="2" xfId="0" applyFont="1" applyBorder="1" applyAlignment="1">
      <alignment readingOrder="1"/>
    </xf>
    <xf numFmtId="0" fontId="26" fillId="0" borderId="2" xfId="0" applyFont="1" applyBorder="1" applyAlignment="1">
      <alignment readingOrder="1"/>
    </xf>
    <xf numFmtId="0" fontId="24" fillId="0" borderId="2" xfId="0" applyFont="1" applyBorder="1" applyAlignment="1">
      <alignment wrapText="1" readingOrder="1"/>
    </xf>
    <xf numFmtId="0" fontId="24" fillId="0" borderId="6" xfId="0" applyFont="1" applyBorder="1" applyAlignment="1">
      <alignment readingOrder="1"/>
    </xf>
    <xf numFmtId="0" fontId="26" fillId="0" borderId="6" xfId="0" applyFont="1" applyBorder="1" applyAlignment="1">
      <alignment wrapText="1" readingOrder="1"/>
    </xf>
    <xf numFmtId="0" fontId="26" fillId="0" borderId="6" xfId="0" applyFont="1" applyBorder="1" applyAlignment="1">
      <alignment readingOrder="1"/>
    </xf>
    <xf numFmtId="0" fontId="23" fillId="2" borderId="3" xfId="0" applyFont="1" applyFill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/>
    </xf>
    <xf numFmtId="0" fontId="28" fillId="0" borderId="3" xfId="0" applyFont="1" applyBorder="1" applyAlignment="1">
      <alignment horizontal="center" vertical="center"/>
    </xf>
    <xf numFmtId="0" fontId="30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48" fillId="0" borderId="3" xfId="0" applyFont="1" applyBorder="1" applyAlignment="1">
      <alignment horizontal="center" vertical="center"/>
    </xf>
    <xf numFmtId="0" fontId="49" fillId="2" borderId="1" xfId="0" applyFont="1" applyFill="1" applyBorder="1" applyAlignment="1">
      <alignment readingOrder="1"/>
    </xf>
    <xf numFmtId="166" fontId="49" fillId="0" borderId="1" xfId="0" applyNumberFormat="1" applyFont="1" applyBorder="1" applyAlignment="1">
      <alignment horizontal="left" readingOrder="1"/>
    </xf>
    <xf numFmtId="0" fontId="50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1" fillId="0" borderId="3" xfId="0" applyFont="1" applyBorder="1" applyAlignment="1">
      <alignment horizontal="center" vertical="center"/>
    </xf>
    <xf numFmtId="0" fontId="52" fillId="2" borderId="1" xfId="0" applyFont="1" applyFill="1" applyBorder="1" applyAlignment="1">
      <alignment readingOrder="1"/>
    </xf>
    <xf numFmtId="166" fontId="52" fillId="0" borderId="1" xfId="0" applyNumberFormat="1" applyFont="1" applyBorder="1" applyAlignment="1">
      <alignment horizontal="left" readingOrder="1"/>
    </xf>
    <xf numFmtId="0" fontId="10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2" borderId="3" xfId="0" applyFont="1" applyFill="1" applyBorder="1" applyAlignment="1">
      <alignment readingOrder="1"/>
    </xf>
    <xf numFmtId="0" fontId="20" fillId="3" borderId="3" xfId="0" applyFont="1" applyFill="1" applyBorder="1" applyAlignment="1">
      <alignment horizontal="center" wrapText="1" readingOrder="1"/>
    </xf>
    <xf numFmtId="0" fontId="20" fillId="3" borderId="3" xfId="0" applyFont="1" applyFill="1" applyBorder="1" applyAlignment="1">
      <alignment horizontal="left" wrapText="1" readingOrder="1"/>
    </xf>
    <xf numFmtId="0" fontId="20" fillId="3" borderId="3" xfId="0" applyFont="1" applyFill="1" applyBorder="1" applyAlignment="1">
      <alignment wrapText="1" readingOrder="1"/>
    </xf>
    <xf numFmtId="0" fontId="21" fillId="0" borderId="3" xfId="0" applyFont="1" applyBorder="1" applyAlignment="1">
      <alignment readingOrder="1"/>
    </xf>
    <xf numFmtId="0" fontId="22" fillId="0" borderId="3" xfId="0" applyFont="1" applyBorder="1" applyAlignment="1">
      <alignment readingOrder="1"/>
    </xf>
    <xf numFmtId="0" fontId="21" fillId="0" borderId="4" xfId="0" applyFont="1" applyBorder="1" applyAlignment="1">
      <alignment readingOrder="1"/>
    </xf>
    <xf numFmtId="0" fontId="21" fillId="0" borderId="5" xfId="0" applyFont="1" applyBorder="1" applyAlignment="1">
      <alignment readingOrder="1"/>
    </xf>
  </cellXfs>
  <cellStyles count="2">
    <cellStyle name="Hyperlink" xfId="1" xr:uid="{00000000-000B-0000-0000-000008000000}"/>
    <cellStyle name="Normal" xfId="0" builtinId="0"/>
  </cellStyles>
  <dxfs count="25">
    <dxf>
      <numFmt numFmtId="13" formatCode="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3" formatCode="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0" formatCode="General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3" formatCode="0%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numFmt numFmtId="13" formatCode="0%"/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2387B-5491-4001-A366-B33E19AD9036}" name="Tabela2" displayName="Tabela2" ref="A1:L65" totalsRowCount="1" headerRowDxfId="22" headerRowBorderDxfId="20" tableBorderDxfId="21" totalsRowBorderDxfId="19">
  <autoFilter ref="A1:L64" xr:uid="{83C2387B-5491-4001-A366-B33E19AD9036}">
    <filterColumn colId="1">
      <filters>
        <filter val="Glender"/>
      </filters>
    </filterColumn>
  </autoFilter>
  <tableColumns count="12">
    <tableColumn id="3" xr3:uid="{2796B231-90C6-430F-9E0E-E65A6CD19F29}" name="Nome"/>
    <tableColumn id="1" xr3:uid="{F3E70173-80A7-4291-BEED-F77D58343667}" name="Professor"/>
    <tableColumn id="4" xr3:uid="{22A9D4FF-428E-4264-9005-B4A34BDFB49E}" name="A1 - 30 pts" totalsRowDxfId="18"/>
    <tableColumn id="2" xr3:uid="{36BEC9F4-B1A3-4F7E-8722-64FCECA09970}" name="Percentual" dataDxfId="16" totalsRowDxfId="17"/>
    <tableColumn id="11" xr3:uid="{9A690434-D5EA-4FF4-824B-00A88AF2BD3E}" name="A2 - 30 pts" dataDxfId="14" totalsRowDxfId="15"/>
    <tableColumn id="5" xr3:uid="{0C983CFE-B4DB-46FD-A73C-238BC2596136}" name="A2 - 30 pts2" dataDxfId="12" totalsRowDxfId="13"/>
    <tableColumn id="6" xr3:uid="{AFD94052-FB52-4548-AA81-004D42385467}" name="A3 - 20 pts (projeto)" dataDxfId="10" totalsRowDxfId="11"/>
    <tableColumn id="7" xr3:uid="{D33E2A0F-2B4F-4228-9A68-64AF0EE93203}" name="A3 - 10 pts (Oracle)" dataDxfId="8" totalsRowDxfId="9"/>
    <tableColumn id="9" xr3:uid="{DC92F172-1E63-4055-9950-C83F6D31CDB0}" name="A3 -  10 pts (Online)" dataDxfId="6" totalsRowDxfId="7"/>
    <tableColumn id="8" xr3:uid="{17F970B1-FE01-4D6A-BA35-38A658609198}" name="A3 - Final" dataDxfId="4" totalsRowDxfId="5"/>
    <tableColumn id="10" xr3:uid="{72A4E5D8-2058-4936-A928-6136720899B8}" name="Percentual2" dataDxfId="2" totalsRowDxfId="3"/>
    <tableColumn id="12" xr3:uid="{BF78FC5B-D831-4E6A-8669-8D1399B6E924}" name="Total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portugol.dev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0"/>
  <sheetViews>
    <sheetView tabSelected="1" topLeftCell="B50" workbookViewId="0">
      <selection activeCell="D63" sqref="D63"/>
    </sheetView>
  </sheetViews>
  <sheetFormatPr defaultColWidth="8.85546875" defaultRowHeight="15"/>
  <cols>
    <col min="2" max="2" width="14.28515625" bestFit="1" customWidth="1"/>
    <col min="3" max="3" width="16" style="16" customWidth="1"/>
    <col min="4" max="4" width="116" style="108" customWidth="1"/>
    <col min="5" max="5" width="14" style="41" customWidth="1"/>
    <col min="6" max="6" width="30.140625" customWidth="1"/>
    <col min="7" max="7" width="60.28515625" customWidth="1"/>
    <col min="9" max="9" width="15.42578125" bestFit="1" customWidth="1"/>
  </cols>
  <sheetData>
    <row r="1" spans="1:9" ht="15" customHeight="1">
      <c r="A1" s="136" t="s">
        <v>0</v>
      </c>
      <c r="B1" s="136"/>
      <c r="C1" s="137"/>
      <c r="D1" s="138"/>
      <c r="E1" s="138"/>
      <c r="F1" s="136"/>
      <c r="G1" s="44"/>
    </row>
    <row r="2" spans="1:9">
      <c r="A2" s="45" t="s">
        <v>1</v>
      </c>
      <c r="B2" s="45"/>
      <c r="C2" s="46" t="s">
        <v>2</v>
      </c>
      <c r="D2" s="102" t="s">
        <v>3</v>
      </c>
      <c r="E2" s="47" t="s">
        <v>4</v>
      </c>
      <c r="F2" s="48" t="s">
        <v>5</v>
      </c>
      <c r="G2" s="45" t="s">
        <v>6</v>
      </c>
    </row>
    <row r="3" spans="1:9" ht="28.5" customHeight="1">
      <c r="A3" s="135">
        <v>1</v>
      </c>
      <c r="B3" s="49" t="s">
        <v>7</v>
      </c>
      <c r="C3" s="50">
        <v>46062</v>
      </c>
      <c r="D3" s="117" t="s">
        <v>8</v>
      </c>
      <c r="E3" s="51" t="s">
        <v>9</v>
      </c>
      <c r="F3" s="82"/>
      <c r="G3" s="8"/>
    </row>
    <row r="4" spans="1:9" ht="17.25">
      <c r="A4" s="135"/>
      <c r="B4" s="52" t="s">
        <v>10</v>
      </c>
      <c r="C4" s="53">
        <v>46063</v>
      </c>
      <c r="D4" s="134" t="s">
        <v>11</v>
      </c>
      <c r="E4" s="54"/>
      <c r="F4" s="54"/>
      <c r="G4" s="2"/>
      <c r="I4" s="1"/>
    </row>
    <row r="5" spans="1:9">
      <c r="A5" s="135">
        <v>2</v>
      </c>
      <c r="B5" s="49" t="s">
        <v>7</v>
      </c>
      <c r="C5" s="95">
        <v>46069</v>
      </c>
      <c r="D5" s="119" t="s">
        <v>12</v>
      </c>
      <c r="E5" s="111" t="s">
        <v>9</v>
      </c>
      <c r="F5" s="55" t="s">
        <v>13</v>
      </c>
      <c r="G5" s="85"/>
    </row>
    <row r="6" spans="1:9">
      <c r="A6" s="135"/>
      <c r="B6" s="52" t="s">
        <v>10</v>
      </c>
      <c r="C6" s="95">
        <v>46070</v>
      </c>
      <c r="D6" s="119" t="s">
        <v>12</v>
      </c>
      <c r="E6" s="98"/>
      <c r="F6" s="55" t="s">
        <v>13</v>
      </c>
      <c r="G6" s="86"/>
    </row>
    <row r="7" spans="1:9" ht="20.25" customHeight="1">
      <c r="A7" s="135">
        <v>3</v>
      </c>
      <c r="B7" s="49" t="s">
        <v>7</v>
      </c>
      <c r="C7" s="110">
        <v>46076</v>
      </c>
      <c r="D7" s="118" t="s">
        <v>14</v>
      </c>
      <c r="E7" s="112"/>
      <c r="F7" s="57"/>
      <c r="G7" s="93" t="s">
        <v>15</v>
      </c>
    </row>
    <row r="8" spans="1:9" ht="65.25" customHeight="1">
      <c r="A8" s="135"/>
      <c r="B8" s="52" t="s">
        <v>10</v>
      </c>
      <c r="C8" s="110">
        <v>46077</v>
      </c>
      <c r="D8" s="118" t="s">
        <v>16</v>
      </c>
      <c r="E8" s="96"/>
      <c r="F8" s="57"/>
      <c r="G8" s="10"/>
    </row>
    <row r="9" spans="1:9">
      <c r="A9" s="135">
        <v>4</v>
      </c>
      <c r="B9" s="49" t="s">
        <v>7</v>
      </c>
      <c r="C9" s="110">
        <v>46083</v>
      </c>
      <c r="D9" s="118" t="s">
        <v>17</v>
      </c>
      <c r="E9" s="112"/>
      <c r="F9" s="57"/>
      <c r="G9" s="10"/>
    </row>
    <row r="10" spans="1:9">
      <c r="A10" s="135"/>
      <c r="B10" s="52" t="s">
        <v>10</v>
      </c>
      <c r="C10" s="110">
        <v>46084</v>
      </c>
      <c r="D10" s="68" t="s">
        <v>18</v>
      </c>
      <c r="E10" s="96"/>
      <c r="F10" s="57"/>
      <c r="G10" s="11"/>
    </row>
    <row r="11" spans="1:9">
      <c r="A11" s="135">
        <v>5</v>
      </c>
      <c r="B11" s="49" t="s">
        <v>7</v>
      </c>
      <c r="C11" s="110">
        <v>46090</v>
      </c>
      <c r="D11" s="68" t="s">
        <v>18</v>
      </c>
      <c r="E11" s="112"/>
      <c r="F11" s="57"/>
      <c r="G11" s="10"/>
    </row>
    <row r="12" spans="1:9">
      <c r="A12" s="135"/>
      <c r="B12" s="52" t="s">
        <v>10</v>
      </c>
      <c r="C12" s="110">
        <v>46091</v>
      </c>
      <c r="D12" s="68" t="s">
        <v>18</v>
      </c>
      <c r="E12" s="96"/>
      <c r="F12" s="58"/>
      <c r="G12" s="13"/>
    </row>
    <row r="13" spans="1:9">
      <c r="A13" s="135">
        <v>6</v>
      </c>
      <c r="B13" s="49" t="s">
        <v>7</v>
      </c>
      <c r="C13" s="110">
        <v>46097</v>
      </c>
      <c r="D13" s="120" t="s">
        <v>19</v>
      </c>
      <c r="E13" s="112"/>
      <c r="F13" s="3"/>
      <c r="G13" s="13" t="s">
        <v>20</v>
      </c>
    </row>
    <row r="14" spans="1:9">
      <c r="A14" s="135"/>
      <c r="B14" s="52" t="s">
        <v>10</v>
      </c>
      <c r="C14" s="110">
        <v>46098</v>
      </c>
      <c r="D14" s="120" t="s">
        <v>19</v>
      </c>
      <c r="E14" s="96"/>
      <c r="F14" s="3"/>
      <c r="G14" s="14"/>
    </row>
    <row r="15" spans="1:9">
      <c r="A15" s="139">
        <v>7</v>
      </c>
      <c r="B15" s="49" t="s">
        <v>7</v>
      </c>
      <c r="C15" s="110">
        <v>46104</v>
      </c>
      <c r="D15" s="121" t="s">
        <v>21</v>
      </c>
      <c r="E15" s="112"/>
      <c r="F15" s="57"/>
      <c r="G15" s="9"/>
    </row>
    <row r="16" spans="1:9" ht="20.25" customHeight="1">
      <c r="A16" s="139"/>
      <c r="B16" s="52" t="s">
        <v>10</v>
      </c>
      <c r="C16" s="110">
        <v>46105</v>
      </c>
      <c r="D16" s="121" t="s">
        <v>21</v>
      </c>
      <c r="E16" s="96"/>
      <c r="F16" s="3"/>
    </row>
    <row r="17" spans="1:7">
      <c r="A17" s="139">
        <v>8</v>
      </c>
      <c r="B17" s="49" t="s">
        <v>7</v>
      </c>
      <c r="C17" s="110">
        <v>46111</v>
      </c>
      <c r="D17" s="121" t="s">
        <v>22</v>
      </c>
      <c r="E17" s="112"/>
      <c r="F17" s="3"/>
      <c r="G17" s="42"/>
    </row>
    <row r="18" spans="1:7">
      <c r="A18" s="139"/>
      <c r="B18" s="52" t="s">
        <v>10</v>
      </c>
      <c r="C18" s="94">
        <v>46112</v>
      </c>
      <c r="D18" s="121" t="s">
        <v>22</v>
      </c>
      <c r="E18" s="98"/>
      <c r="F18" s="59"/>
      <c r="G18" s="11"/>
    </row>
    <row r="19" spans="1:7">
      <c r="A19" s="139">
        <v>9</v>
      </c>
      <c r="B19" s="49" t="s">
        <v>7</v>
      </c>
      <c r="C19" s="110">
        <v>46118</v>
      </c>
      <c r="D19" s="121" t="s">
        <v>23</v>
      </c>
      <c r="E19" s="112"/>
      <c r="F19" s="60"/>
    </row>
    <row r="20" spans="1:7">
      <c r="A20" s="139"/>
      <c r="B20" s="52" t="s">
        <v>10</v>
      </c>
      <c r="C20" s="94">
        <v>46119</v>
      </c>
      <c r="D20" s="121" t="s">
        <v>23</v>
      </c>
      <c r="E20" s="113"/>
      <c r="F20" s="56"/>
      <c r="G20" s="15"/>
    </row>
    <row r="21" spans="1:7">
      <c r="A21" s="140">
        <v>10</v>
      </c>
      <c r="B21" s="49" t="s">
        <v>7</v>
      </c>
      <c r="C21" s="94">
        <v>46125</v>
      </c>
      <c r="D21" s="121" t="s">
        <v>24</v>
      </c>
      <c r="E21" s="112"/>
      <c r="F21" s="3"/>
      <c r="G21" s="4"/>
    </row>
    <row r="22" spans="1:7">
      <c r="A22" s="140"/>
      <c r="B22" s="52" t="s">
        <v>10</v>
      </c>
      <c r="C22" s="94">
        <v>46126</v>
      </c>
      <c r="D22" s="121" t="s">
        <v>24</v>
      </c>
      <c r="E22" s="96"/>
      <c r="F22" s="3"/>
      <c r="G22" s="42"/>
    </row>
    <row r="23" spans="1:7">
      <c r="A23" s="139">
        <v>11</v>
      </c>
      <c r="B23" s="49" t="s">
        <v>7</v>
      </c>
      <c r="C23" s="94">
        <v>46132</v>
      </c>
      <c r="D23" s="121" t="s">
        <v>25</v>
      </c>
      <c r="E23" s="97"/>
      <c r="F23" s="61"/>
      <c r="G23" s="8"/>
    </row>
    <row r="24" spans="1:7">
      <c r="A24" s="139"/>
      <c r="B24" s="52" t="s">
        <v>10</v>
      </c>
      <c r="C24" s="95">
        <v>46133</v>
      </c>
      <c r="D24" s="109" t="s">
        <v>12</v>
      </c>
      <c r="E24" s="98"/>
      <c r="F24" s="64" t="s">
        <v>26</v>
      </c>
      <c r="G24" s="87"/>
    </row>
    <row r="25" spans="1:7">
      <c r="A25" s="139">
        <v>12</v>
      </c>
      <c r="B25" s="49" t="s">
        <v>7</v>
      </c>
      <c r="C25" s="94">
        <v>46139</v>
      </c>
      <c r="D25" s="121" t="s">
        <v>27</v>
      </c>
      <c r="E25" s="99"/>
      <c r="F25" s="63"/>
      <c r="G25" s="12"/>
    </row>
    <row r="26" spans="1:7">
      <c r="A26" s="139"/>
      <c r="B26" s="52" t="s">
        <v>10</v>
      </c>
      <c r="C26" s="94">
        <v>46140</v>
      </c>
      <c r="D26" s="121" t="s">
        <v>28</v>
      </c>
      <c r="E26" s="98"/>
      <c r="F26" s="64"/>
      <c r="G26" s="11"/>
    </row>
    <row r="27" spans="1:7">
      <c r="A27" s="139">
        <v>13</v>
      </c>
      <c r="B27" s="49" t="s">
        <v>7</v>
      </c>
      <c r="C27" s="94">
        <v>46146</v>
      </c>
      <c r="D27" s="121" t="s">
        <v>28</v>
      </c>
      <c r="E27" s="84"/>
      <c r="F27" s="91"/>
      <c r="G27" s="92"/>
    </row>
    <row r="28" spans="1:7">
      <c r="A28" s="139"/>
      <c r="B28" s="131" t="s">
        <v>10</v>
      </c>
      <c r="C28" s="132">
        <v>46147</v>
      </c>
      <c r="D28" s="130" t="s">
        <v>29</v>
      </c>
      <c r="E28" s="100"/>
      <c r="F28" s="3"/>
      <c r="G28" s="3"/>
    </row>
    <row r="29" spans="1:7">
      <c r="A29" s="139">
        <v>14</v>
      </c>
      <c r="B29" s="49" t="s">
        <v>7</v>
      </c>
      <c r="C29" s="94">
        <v>46153</v>
      </c>
      <c r="D29" s="121" t="s">
        <v>30</v>
      </c>
      <c r="E29" s="114"/>
      <c r="F29" s="67"/>
      <c r="G29" s="3"/>
    </row>
    <row r="30" spans="1:7">
      <c r="A30" s="139"/>
      <c r="B30" s="49" t="s">
        <v>10</v>
      </c>
      <c r="C30" s="94">
        <v>46154</v>
      </c>
      <c r="D30" s="121" t="s">
        <v>30</v>
      </c>
      <c r="E30" s="115"/>
      <c r="F30" s="59"/>
      <c r="G30" s="3"/>
    </row>
    <row r="31" spans="1:7">
      <c r="A31" s="139">
        <v>15</v>
      </c>
      <c r="B31" s="49" t="s">
        <v>7</v>
      </c>
      <c r="C31" s="94">
        <v>46160</v>
      </c>
      <c r="D31" s="121" t="s">
        <v>31</v>
      </c>
      <c r="E31" s="116"/>
      <c r="F31" s="69"/>
      <c r="G31" s="3"/>
    </row>
    <row r="32" spans="1:7">
      <c r="A32" s="139"/>
      <c r="B32" s="52" t="s">
        <v>10</v>
      </c>
      <c r="C32" s="94">
        <v>46161</v>
      </c>
      <c r="D32" s="121" t="s">
        <v>31</v>
      </c>
      <c r="E32" s="115"/>
      <c r="F32" s="63"/>
      <c r="G32" s="3"/>
    </row>
    <row r="33" spans="1:7">
      <c r="A33" s="139">
        <v>16</v>
      </c>
      <c r="B33" s="49" t="s">
        <v>7</v>
      </c>
      <c r="C33" s="94">
        <v>46167</v>
      </c>
      <c r="D33" s="121" t="s">
        <v>32</v>
      </c>
      <c r="E33" s="116"/>
      <c r="F33" s="57"/>
      <c r="G33" s="3"/>
    </row>
    <row r="34" spans="1:7">
      <c r="A34" s="139"/>
      <c r="B34" s="52" t="s">
        <v>10</v>
      </c>
      <c r="C34" s="94">
        <v>46168</v>
      </c>
      <c r="D34" s="121" t="s">
        <v>33</v>
      </c>
      <c r="E34" s="115"/>
      <c r="F34" s="58"/>
      <c r="G34" s="3"/>
    </row>
    <row r="35" spans="1:7">
      <c r="A35" s="139">
        <v>17</v>
      </c>
      <c r="B35" s="49" t="s">
        <v>7</v>
      </c>
      <c r="C35" s="110">
        <v>46174</v>
      </c>
      <c r="D35" s="121" t="s">
        <v>33</v>
      </c>
      <c r="E35" s="116"/>
      <c r="F35" s="70"/>
      <c r="G35" s="3"/>
    </row>
    <row r="36" spans="1:7">
      <c r="A36" s="139"/>
      <c r="B36" s="52" t="s">
        <v>10</v>
      </c>
      <c r="C36" s="110">
        <v>46175</v>
      </c>
      <c r="D36" s="121" t="s">
        <v>34</v>
      </c>
      <c r="E36" s="115"/>
      <c r="F36" s="71"/>
      <c r="G36" s="3"/>
    </row>
    <row r="37" spans="1:7">
      <c r="A37" s="139">
        <v>18</v>
      </c>
      <c r="B37" s="49" t="s">
        <v>7</v>
      </c>
      <c r="C37" s="110">
        <v>46181</v>
      </c>
      <c r="D37" s="121" t="s">
        <v>34</v>
      </c>
      <c r="E37" s="116"/>
      <c r="F37" s="62"/>
      <c r="G37" s="3"/>
    </row>
    <row r="38" spans="1:7">
      <c r="A38" s="141"/>
      <c r="B38" s="52" t="s">
        <v>10</v>
      </c>
      <c r="C38" s="110">
        <v>46182</v>
      </c>
      <c r="D38" s="121" t="s">
        <v>34</v>
      </c>
      <c r="E38" s="115"/>
      <c r="F38" s="71"/>
      <c r="G38" s="3"/>
    </row>
    <row r="39" spans="1:7">
      <c r="A39" s="139">
        <v>19</v>
      </c>
      <c r="B39" s="126" t="s">
        <v>7</v>
      </c>
      <c r="C39" s="127">
        <v>46188</v>
      </c>
      <c r="D39" s="125" t="s">
        <v>35</v>
      </c>
      <c r="E39" s="89"/>
      <c r="F39" s="72"/>
      <c r="G39" s="3"/>
    </row>
    <row r="40" spans="1:7">
      <c r="A40" s="139"/>
      <c r="B40" s="49" t="s">
        <v>10</v>
      </c>
      <c r="C40" s="50">
        <v>46189</v>
      </c>
      <c r="D40" s="133" t="s">
        <v>36</v>
      </c>
      <c r="E40" s="88"/>
      <c r="F40" s="72"/>
      <c r="G40" s="3"/>
    </row>
    <row r="41" spans="1:7">
      <c r="A41" s="139">
        <v>20</v>
      </c>
      <c r="B41" s="65" t="s">
        <v>7</v>
      </c>
      <c r="C41" s="83">
        <v>46195</v>
      </c>
      <c r="D41" s="124" t="s">
        <v>37</v>
      </c>
      <c r="E41" s="89"/>
      <c r="F41" s="72"/>
      <c r="G41" s="3"/>
    </row>
    <row r="42" spans="1:7">
      <c r="A42" s="139"/>
      <c r="B42" s="65" t="s">
        <v>10</v>
      </c>
      <c r="C42" s="83">
        <v>46196</v>
      </c>
      <c r="D42" s="124" t="s">
        <v>37</v>
      </c>
      <c r="E42" s="90"/>
      <c r="F42" s="72"/>
      <c r="G42" s="3"/>
    </row>
    <row r="43" spans="1:7">
      <c r="A43" s="141">
        <v>21</v>
      </c>
      <c r="B43" s="49" t="s">
        <v>7</v>
      </c>
      <c r="C43" s="83">
        <v>46202</v>
      </c>
      <c r="D43" s="122" t="s">
        <v>38</v>
      </c>
      <c r="E43" s="89"/>
      <c r="F43" s="71"/>
      <c r="G43" s="3"/>
    </row>
    <row r="44" spans="1:7">
      <c r="A44" s="142"/>
      <c r="B44" s="52" t="s">
        <v>10</v>
      </c>
      <c r="C44" s="66">
        <v>46203</v>
      </c>
      <c r="D44" s="123" t="s">
        <v>38</v>
      </c>
      <c r="E44" s="88"/>
      <c r="F44" s="71"/>
      <c r="G44" s="3"/>
    </row>
    <row r="45" spans="1:7">
      <c r="A45" s="77"/>
      <c r="B45" s="78"/>
      <c r="C45" s="79"/>
      <c r="D45" s="101"/>
      <c r="E45" s="80"/>
      <c r="F45" s="81"/>
    </row>
    <row r="46" spans="1:7">
      <c r="A46" s="77"/>
      <c r="B46" s="78"/>
      <c r="C46" s="79"/>
      <c r="D46" s="101"/>
      <c r="E46" s="80"/>
      <c r="F46" s="81"/>
    </row>
    <row r="47" spans="1:7">
      <c r="A47" s="77"/>
      <c r="B47" s="78"/>
      <c r="C47" s="79"/>
      <c r="D47" s="101"/>
      <c r="E47" s="80"/>
      <c r="F47" s="81"/>
    </row>
    <row r="48" spans="1:7">
      <c r="C48" s="73"/>
      <c r="D48" s="103" t="s">
        <v>39</v>
      </c>
      <c r="E48"/>
    </row>
    <row r="49" spans="3:6">
      <c r="C49" s="73"/>
      <c r="D49" s="104"/>
      <c r="E49"/>
      <c r="F49" s="74"/>
    </row>
    <row r="50" spans="3:6">
      <c r="C50" s="73"/>
      <c r="D50" s="105" t="s">
        <v>40</v>
      </c>
      <c r="E50"/>
      <c r="F50" s="74"/>
    </row>
    <row r="51" spans="3:6">
      <c r="C51" s="73"/>
      <c r="D51" s="106" t="s">
        <v>29</v>
      </c>
      <c r="E51" t="s">
        <v>41</v>
      </c>
      <c r="F51" s="74"/>
    </row>
    <row r="52" spans="3:6">
      <c r="C52" s="73"/>
      <c r="D52" s="107" t="s">
        <v>42</v>
      </c>
      <c r="E52" t="s">
        <v>43</v>
      </c>
      <c r="F52" s="74"/>
    </row>
    <row r="53" spans="3:6">
      <c r="C53" s="73"/>
      <c r="D53" s="107" t="s">
        <v>37</v>
      </c>
      <c r="E53" t="s">
        <v>44</v>
      </c>
      <c r="F53" s="74"/>
    </row>
    <row r="54" spans="3:6">
      <c r="C54" s="73"/>
      <c r="D54" s="107" t="s">
        <v>45</v>
      </c>
      <c r="E54"/>
      <c r="F54" s="74"/>
    </row>
    <row r="55" spans="3:6">
      <c r="C55" s="73"/>
      <c r="D55" s="105" t="s">
        <v>46</v>
      </c>
      <c r="E55"/>
      <c r="F55" s="74"/>
    </row>
    <row r="56" spans="3:6">
      <c r="C56" s="73"/>
      <c r="D56" s="105" t="s">
        <v>47</v>
      </c>
      <c r="E56"/>
    </row>
    <row r="57" spans="3:6">
      <c r="C57" s="73"/>
      <c r="D57" s="107" t="s">
        <v>48</v>
      </c>
      <c r="E57"/>
    </row>
    <row r="58" spans="3:6">
      <c r="C58" s="73"/>
      <c r="D58" s="75"/>
      <c r="E58" s="76"/>
    </row>
    <row r="59" spans="3:6">
      <c r="C59" s="73"/>
      <c r="D59" s="128" t="s">
        <v>49</v>
      </c>
      <c r="E59"/>
    </row>
    <row r="60" spans="3:6">
      <c r="D60" s="41" t="s">
        <v>50</v>
      </c>
    </row>
    <row r="61" spans="3:6">
      <c r="D61" s="41" t="s">
        <v>51</v>
      </c>
    </row>
    <row r="62" spans="3:6" ht="57.75">
      <c r="D62" s="129" t="s">
        <v>52</v>
      </c>
    </row>
    <row r="63" spans="3:6">
      <c r="D63" s="107"/>
    </row>
    <row r="64" spans="3:6">
      <c r="D64" s="107"/>
    </row>
    <row r="65" spans="4:4">
      <c r="D65" s="107"/>
    </row>
    <row r="66" spans="4:4">
      <c r="D66" s="107"/>
    </row>
    <row r="67" spans="4:4">
      <c r="D67" s="107"/>
    </row>
    <row r="68" spans="4:4">
      <c r="D68" s="107"/>
    </row>
    <row r="69" spans="4:4">
      <c r="D69" s="107"/>
    </row>
    <row r="70" spans="4:4">
      <c r="D70" s="107"/>
    </row>
    <row r="71" spans="4:4">
      <c r="D71" s="107"/>
    </row>
    <row r="72" spans="4:4">
      <c r="D72" s="107"/>
    </row>
    <row r="73" spans="4:4">
      <c r="D73" s="107"/>
    </row>
    <row r="74" spans="4:4">
      <c r="D74" s="107"/>
    </row>
    <row r="75" spans="4:4">
      <c r="D75" s="107"/>
    </row>
    <row r="76" spans="4:4">
      <c r="D76" s="107"/>
    </row>
    <row r="77" spans="4:4">
      <c r="D77" s="107"/>
    </row>
    <row r="78" spans="4:4">
      <c r="D78" s="107"/>
    </row>
    <row r="79" spans="4:4">
      <c r="D79" s="107"/>
    </row>
    <row r="80" spans="4:4">
      <c r="D80" s="107"/>
    </row>
  </sheetData>
  <autoFilter ref="A2:G27" xr:uid="{00000000-0001-0000-0000-000000000000}"/>
  <mergeCells count="22">
    <mergeCell ref="A39:A40"/>
    <mergeCell ref="A41:A42"/>
    <mergeCell ref="A43:A44"/>
    <mergeCell ref="A31:A32"/>
    <mergeCell ref="A33:A34"/>
    <mergeCell ref="A35:A36"/>
    <mergeCell ref="A37:A38"/>
    <mergeCell ref="A27:A28"/>
    <mergeCell ref="A29:A30"/>
    <mergeCell ref="A13:A14"/>
    <mergeCell ref="A15:A16"/>
    <mergeCell ref="A17:A18"/>
    <mergeCell ref="A19:A20"/>
    <mergeCell ref="A21:A22"/>
    <mergeCell ref="A23:A24"/>
    <mergeCell ref="A25:A26"/>
    <mergeCell ref="A5:A6"/>
    <mergeCell ref="A7:A8"/>
    <mergeCell ref="A9:A10"/>
    <mergeCell ref="A11:A12"/>
    <mergeCell ref="A1:F1"/>
    <mergeCell ref="A3:A4"/>
  </mergeCells>
  <hyperlinks>
    <hyperlink ref="G7" r:id="rId1" xr:uid="{A2CA656A-D4A1-49B4-8DBE-032A2288F59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0EBE5-3A01-4599-9E02-D4BBFF84F44A}">
  <dimension ref="A1:L65"/>
  <sheetViews>
    <sheetView workbookViewId="0">
      <selection activeCell="A12" sqref="A12"/>
    </sheetView>
  </sheetViews>
  <sheetFormatPr defaultColWidth="8.85546875" defaultRowHeight="15"/>
  <cols>
    <col min="1" max="1" width="42.5703125" bestFit="1" customWidth="1"/>
    <col min="2" max="2" width="35.85546875" customWidth="1"/>
    <col min="3" max="3" width="10.28515625" style="20" customWidth="1"/>
    <col min="4" max="4" width="10.28515625" style="24" customWidth="1"/>
    <col min="5" max="5" width="10.28515625" style="37" customWidth="1"/>
    <col min="6" max="6" width="10.28515625" style="32" customWidth="1"/>
    <col min="7" max="7" width="18" bestFit="1" customWidth="1"/>
    <col min="8" max="8" width="23.28515625" customWidth="1"/>
    <col min="9" max="9" width="19.42578125" customWidth="1"/>
    <col min="10" max="10" width="8.85546875" customWidth="1"/>
    <col min="11" max="11" width="9.140625" style="32"/>
    <col min="12" max="12" width="8.42578125" style="32"/>
  </cols>
  <sheetData>
    <row r="1" spans="1:12">
      <c r="A1" s="4" t="s">
        <v>53</v>
      </c>
      <c r="B1" s="4" t="s">
        <v>4</v>
      </c>
      <c r="C1" s="6" t="s">
        <v>54</v>
      </c>
      <c r="D1" s="21" t="s">
        <v>55</v>
      </c>
      <c r="E1" s="34" t="s">
        <v>56</v>
      </c>
      <c r="F1" s="33" t="s">
        <v>57</v>
      </c>
      <c r="G1" s="4" t="s">
        <v>58</v>
      </c>
      <c r="H1" s="4" t="s">
        <v>59</v>
      </c>
      <c r="I1" s="4" t="s">
        <v>60</v>
      </c>
      <c r="J1" s="27" t="s">
        <v>61</v>
      </c>
      <c r="K1" s="28" t="s">
        <v>62</v>
      </c>
      <c r="L1" s="28" t="s">
        <v>63</v>
      </c>
    </row>
    <row r="2" spans="1:12" ht="16.5">
      <c r="A2" s="17"/>
      <c r="B2" s="17"/>
      <c r="D2" s="22"/>
      <c r="E2" s="35"/>
      <c r="F2" s="30"/>
      <c r="G2" s="18"/>
      <c r="H2" s="25"/>
      <c r="I2" s="25"/>
      <c r="J2" s="26"/>
      <c r="K2" s="29"/>
      <c r="L2" s="29"/>
    </row>
    <row r="3" spans="1:12" ht="16.5" hidden="1">
      <c r="A3" s="17" t="s">
        <v>64</v>
      </c>
      <c r="B3" s="17" t="s">
        <v>65</v>
      </c>
      <c r="D3" s="22">
        <f>Tabela2[[#This Row],[A1 - 30 pts]]/20</f>
        <v>0</v>
      </c>
      <c r="E3" s="35"/>
      <c r="F3" s="30"/>
      <c r="G3" s="18">
        <v>20</v>
      </c>
      <c r="H3" s="3" t="e">
        <f>VLOOKUP(Tabela2[[#This Row],[Nome]],#REF!,12)</f>
        <v>#REF!</v>
      </c>
      <c r="I3" s="3" t="e">
        <f>VLOOKUP(Tabela2[[#This Row],[Nome]],#REF!,11)</f>
        <v>#REF!</v>
      </c>
      <c r="J3" s="3" t="e">
        <f>SUM(Tabela2[[#This Row],[A3 - 20 pts (projeto)]:[A3 -  10 pts (Online)]])</f>
        <v>#REF!</v>
      </c>
      <c r="K3" s="30" t="e">
        <f>Tabela2[[#This Row],[A3 - Final]]/40</f>
        <v>#REF!</v>
      </c>
      <c r="L3" s="30" t="e">
        <f>(Tabela2[[#This Row],[Percentual]]+Tabela2[[#This Row],[A2 - 30 pts2]]+Tabela2[[#This Row],[Percentual2]])/3</f>
        <v>#REF!</v>
      </c>
    </row>
    <row r="4" spans="1:12" ht="16.5" hidden="1">
      <c r="A4" s="17" t="s">
        <v>66</v>
      </c>
      <c r="B4" s="17" t="s">
        <v>65</v>
      </c>
      <c r="D4" s="22">
        <f>Tabela2[[#This Row],[A1 - 30 pts]]/20</f>
        <v>0</v>
      </c>
      <c r="E4" s="35"/>
      <c r="F4" s="30"/>
      <c r="G4" s="18">
        <v>20</v>
      </c>
      <c r="H4" s="3" t="e">
        <f>VLOOKUP(Tabela2[[#This Row],[Nome]],#REF!,12)</f>
        <v>#REF!</v>
      </c>
      <c r="I4" s="3" t="e">
        <f>VLOOKUP(Tabela2[[#This Row],[Nome]],#REF!,11)</f>
        <v>#REF!</v>
      </c>
      <c r="J4" s="3" t="e">
        <f>SUM(Tabela2[[#This Row],[A3 - 20 pts (projeto)]:[A3 -  10 pts (Online)]])</f>
        <v>#REF!</v>
      </c>
      <c r="K4" s="30" t="e">
        <f>Tabela2[[#This Row],[A3 - Final]]/40</f>
        <v>#REF!</v>
      </c>
      <c r="L4" s="30" t="e">
        <f>(Tabela2[[#This Row],[Percentual]]+Tabela2[[#This Row],[A2 - 30 pts2]]+Tabela2[[#This Row],[Percentual2]])/3</f>
        <v>#REF!</v>
      </c>
    </row>
    <row r="5" spans="1:12" ht="16.5">
      <c r="A5" s="17"/>
      <c r="B5" s="17"/>
      <c r="D5" s="22"/>
      <c r="E5" s="35"/>
      <c r="F5" s="30"/>
      <c r="G5" s="18"/>
      <c r="H5" s="3"/>
      <c r="I5" s="5"/>
      <c r="J5" s="3"/>
      <c r="K5" s="30"/>
      <c r="L5" s="30"/>
    </row>
    <row r="6" spans="1:12" ht="16.5" hidden="1">
      <c r="A6" s="17" t="s">
        <v>67</v>
      </c>
      <c r="B6" s="17" t="s">
        <v>65</v>
      </c>
      <c r="D6" s="22">
        <f>Tabela2[[#This Row],[A1 - 30 pts]]/20</f>
        <v>0</v>
      </c>
      <c r="E6" s="35"/>
      <c r="F6" s="30"/>
      <c r="G6" s="18">
        <v>18.3</v>
      </c>
      <c r="H6" s="3" t="e">
        <f>VLOOKUP(Tabela2[[#This Row],[Nome]],#REF!,12)</f>
        <v>#REF!</v>
      </c>
      <c r="I6" s="5" t="e">
        <f>VLOOKUP(Tabela2[[#This Row],[Nome]],#REF!,11)</f>
        <v>#REF!</v>
      </c>
      <c r="J6" s="3" t="e">
        <f>SUM(Tabela2[[#This Row],[A3 - 20 pts (projeto)]:[A3 -  10 pts (Online)]])</f>
        <v>#REF!</v>
      </c>
      <c r="K6" s="30" t="e">
        <f>Tabela2[[#This Row],[A3 - Final]]/40</f>
        <v>#REF!</v>
      </c>
      <c r="L6" s="30" t="e">
        <f>(Tabela2[[#This Row],[Percentual]]+Tabela2[[#This Row],[A2 - 30 pts2]]+Tabela2[[#This Row],[Percentual2]])/3</f>
        <v>#REF!</v>
      </c>
    </row>
    <row r="7" spans="1:12" ht="16.5" hidden="1">
      <c r="A7" s="17" t="s">
        <v>68</v>
      </c>
      <c r="B7" s="17" t="s">
        <v>65</v>
      </c>
      <c r="D7" s="22">
        <f>Tabela2[[#This Row],[A1 - 30 pts]]/20</f>
        <v>0</v>
      </c>
      <c r="E7" s="35"/>
      <c r="F7" s="30"/>
      <c r="G7" s="18">
        <v>20</v>
      </c>
      <c r="H7" s="3" t="e">
        <f>VLOOKUP(Tabela2[[#This Row],[Nome]],#REF!,12)</f>
        <v>#REF!</v>
      </c>
      <c r="I7" s="3" t="e">
        <f>VLOOKUP(Tabela2[[#This Row],[Nome]],#REF!,11)</f>
        <v>#REF!</v>
      </c>
      <c r="J7" s="3" t="e">
        <f>SUM(Tabela2[[#This Row],[A3 - 20 pts (projeto)]:[A3 -  10 pts (Online)]])</f>
        <v>#REF!</v>
      </c>
      <c r="K7" s="30" t="e">
        <f>Tabela2[[#This Row],[A3 - Final]]/40</f>
        <v>#REF!</v>
      </c>
      <c r="L7" s="30" t="e">
        <f>(Tabela2[[#This Row],[Percentual]]+Tabela2[[#This Row],[A2 - 30 pts2]]+Tabela2[[#This Row],[Percentual2]])/3</f>
        <v>#REF!</v>
      </c>
    </row>
    <row r="8" spans="1:12" ht="16.5">
      <c r="A8" s="17"/>
      <c r="B8" s="17"/>
      <c r="D8" s="22"/>
      <c r="E8" s="35"/>
      <c r="F8" s="30"/>
      <c r="G8" s="18"/>
      <c r="H8" s="3"/>
      <c r="I8" s="3"/>
      <c r="J8" s="3"/>
      <c r="K8" s="30"/>
      <c r="L8" s="30"/>
    </row>
    <row r="9" spans="1:12" ht="16.5" hidden="1">
      <c r="A9" s="17" t="s">
        <v>69</v>
      </c>
      <c r="B9" s="17" t="s">
        <v>65</v>
      </c>
      <c r="D9" s="22">
        <f>Tabela2[[#This Row],[A1 - 30 pts]]/20</f>
        <v>0</v>
      </c>
      <c r="E9" s="35"/>
      <c r="F9" s="30"/>
      <c r="G9" s="18">
        <v>20</v>
      </c>
      <c r="H9" s="3" t="e">
        <f>VLOOKUP(Tabela2[[#This Row],[Nome]],#REF!,12)</f>
        <v>#REF!</v>
      </c>
      <c r="I9" s="3" t="e">
        <f>VLOOKUP(Tabela2[[#This Row],[Nome]],#REF!,11)</f>
        <v>#REF!</v>
      </c>
      <c r="J9" s="3" t="e">
        <f>SUM(Tabela2[[#This Row],[A3 - 20 pts (projeto)]:[A3 -  10 pts (Online)]])</f>
        <v>#REF!</v>
      </c>
      <c r="K9" s="30" t="e">
        <f>Tabela2[[#This Row],[A3 - Final]]/40</f>
        <v>#REF!</v>
      </c>
      <c r="L9" s="30" t="e">
        <f>(Tabela2[[#This Row],[Percentual]]+Tabela2[[#This Row],[A2 - 30 pts2]]+Tabela2[[#This Row],[Percentual2]])/3</f>
        <v>#REF!</v>
      </c>
    </row>
    <row r="10" spans="1:12" ht="16.5" hidden="1">
      <c r="A10" s="17" t="s">
        <v>70</v>
      </c>
      <c r="B10" s="17" t="s">
        <v>65</v>
      </c>
      <c r="D10" s="22">
        <f>Tabela2[[#This Row],[A1 - 30 pts]]/20</f>
        <v>0</v>
      </c>
      <c r="E10" s="35"/>
      <c r="F10" s="30"/>
      <c r="G10" s="18">
        <v>16</v>
      </c>
      <c r="H10" s="3" t="e">
        <f>VLOOKUP(Tabela2[[#This Row],[Nome]],#REF!,12)</f>
        <v>#REF!</v>
      </c>
      <c r="I10" s="3" t="e">
        <f>VLOOKUP(Tabela2[[#This Row],[Nome]],#REF!,11)</f>
        <v>#REF!</v>
      </c>
      <c r="J10" s="3" t="e">
        <f>SUM(Tabela2[[#This Row],[A3 - 20 pts (projeto)]:[A3 -  10 pts (Online)]])</f>
        <v>#REF!</v>
      </c>
      <c r="K10" s="30" t="e">
        <f>Tabela2[[#This Row],[A3 - Final]]/40</f>
        <v>#REF!</v>
      </c>
      <c r="L10" s="30" t="e">
        <f>(Tabela2[[#This Row],[Percentual]]+Tabela2[[#This Row],[A2 - 30 pts2]]+Tabela2[[#This Row],[Percentual2]])/3</f>
        <v>#REF!</v>
      </c>
    </row>
    <row r="11" spans="1:12" ht="16.5">
      <c r="A11" s="17"/>
      <c r="B11" s="17"/>
      <c r="D11" s="22"/>
      <c r="E11" s="35"/>
      <c r="F11" s="30"/>
      <c r="G11" s="18"/>
      <c r="H11" s="3"/>
      <c r="I11" s="3"/>
      <c r="J11" s="3"/>
      <c r="K11" s="30"/>
      <c r="L11" s="30"/>
    </row>
    <row r="12" spans="1:12" ht="16.5">
      <c r="A12" s="17"/>
      <c r="B12" s="17"/>
      <c r="D12" s="22"/>
      <c r="E12" s="35"/>
      <c r="F12" s="30"/>
      <c r="G12" s="18"/>
      <c r="H12" s="3"/>
      <c r="I12" s="3"/>
      <c r="J12" s="3"/>
      <c r="K12" s="30"/>
      <c r="L12" s="30"/>
    </row>
    <row r="13" spans="1:12" ht="16.5">
      <c r="A13" s="17"/>
      <c r="B13" s="17"/>
      <c r="D13" s="22"/>
      <c r="E13" s="35"/>
      <c r="F13" s="30"/>
      <c r="G13" s="18"/>
      <c r="H13" s="3"/>
      <c r="I13" s="3"/>
      <c r="J13" s="3"/>
      <c r="K13" s="30"/>
      <c r="L13" s="30"/>
    </row>
    <row r="14" spans="1:12" ht="16.5" hidden="1">
      <c r="A14" s="17" t="s">
        <v>71</v>
      </c>
      <c r="B14" s="17" t="s">
        <v>65</v>
      </c>
      <c r="D14" s="22">
        <f>Tabela2[[#This Row],[A1 - 30 pts]]/20</f>
        <v>0</v>
      </c>
      <c r="E14" s="35"/>
      <c r="F14" s="30"/>
      <c r="G14" s="18">
        <v>0</v>
      </c>
      <c r="H14" s="3" t="e">
        <f>VLOOKUP(Tabela2[[#This Row],[Nome]],#REF!,12)</f>
        <v>#REF!</v>
      </c>
      <c r="I14" s="3" t="e">
        <f>VLOOKUP(Tabela2[[#This Row],[Nome]],#REF!,11)</f>
        <v>#REF!</v>
      </c>
      <c r="J14" s="3" t="e">
        <f>SUM(Tabela2[[#This Row],[A3 - 20 pts (projeto)]:[A3 -  10 pts (Online)]])</f>
        <v>#REF!</v>
      </c>
      <c r="K14" s="30" t="e">
        <f>Tabela2[[#This Row],[A3 - Final]]/40</f>
        <v>#REF!</v>
      </c>
      <c r="L14" s="30" t="e">
        <f>(Tabela2[[#This Row],[Percentual]]+Tabela2[[#This Row],[A2 - 30 pts2]]+Tabela2[[#This Row],[Percentual2]])/3</f>
        <v>#REF!</v>
      </c>
    </row>
    <row r="15" spans="1:12" ht="16.5">
      <c r="A15" s="17"/>
      <c r="B15" s="17"/>
      <c r="D15" s="22"/>
      <c r="E15" s="35"/>
      <c r="F15" s="30"/>
      <c r="G15" s="18"/>
      <c r="H15" s="3"/>
      <c r="I15" s="3"/>
      <c r="J15" s="3"/>
      <c r="K15" s="30"/>
      <c r="L15" s="30"/>
    </row>
    <row r="16" spans="1:12" ht="16.5" hidden="1">
      <c r="A16" s="17" t="s">
        <v>72</v>
      </c>
      <c r="B16" s="17" t="s">
        <v>65</v>
      </c>
      <c r="D16" s="22">
        <f>Tabela2[[#This Row],[A1 - 30 pts]]/20</f>
        <v>0</v>
      </c>
      <c r="E16" s="35"/>
      <c r="F16" s="30"/>
      <c r="G16" s="18">
        <v>20</v>
      </c>
      <c r="H16" s="3" t="e">
        <f>VLOOKUP(Tabela2[[#This Row],[Nome]],#REF!,12)</f>
        <v>#REF!</v>
      </c>
      <c r="I16" s="3" t="e">
        <f>VLOOKUP(Tabela2[[#This Row],[Nome]],#REF!,11)</f>
        <v>#REF!</v>
      </c>
      <c r="J16" s="3" t="e">
        <f>SUM(Tabela2[[#This Row],[A3 - 20 pts (projeto)]:[A3 -  10 pts (Online)]])</f>
        <v>#REF!</v>
      </c>
      <c r="K16" s="30" t="e">
        <f>Tabela2[[#This Row],[A3 - Final]]/40</f>
        <v>#REF!</v>
      </c>
      <c r="L16" s="30" t="e">
        <f>(Tabela2[[#This Row],[Percentual]]+Tabela2[[#This Row],[A2 - 30 pts2]]+Tabela2[[#This Row],[Percentual2]])/3</f>
        <v>#REF!</v>
      </c>
    </row>
    <row r="17" spans="1:12" ht="16.5">
      <c r="A17" s="17"/>
      <c r="B17" s="17"/>
      <c r="D17" s="22"/>
      <c r="E17" s="35"/>
      <c r="F17" s="30"/>
      <c r="G17" s="18"/>
      <c r="H17" s="3"/>
      <c r="I17" s="3"/>
      <c r="J17" s="3"/>
      <c r="K17" s="30"/>
      <c r="L17" s="30"/>
    </row>
    <row r="18" spans="1:12" ht="16.5" hidden="1">
      <c r="A18" s="17" t="s">
        <v>73</v>
      </c>
      <c r="B18" s="17" t="s">
        <v>65</v>
      </c>
      <c r="D18" s="22">
        <f>Tabela2[[#This Row],[A1 - 30 pts]]/20</f>
        <v>0</v>
      </c>
      <c r="E18" s="35"/>
      <c r="F18" s="30"/>
      <c r="G18" s="18">
        <v>18.3</v>
      </c>
      <c r="H18" s="3" t="e">
        <f>VLOOKUP(Tabela2[[#This Row],[Nome]],#REF!,12)</f>
        <v>#REF!</v>
      </c>
      <c r="I18" s="3" t="e">
        <f>VLOOKUP(Tabela2[[#This Row],[Nome]],#REF!,11)</f>
        <v>#REF!</v>
      </c>
      <c r="J18" s="3" t="e">
        <f>SUM(Tabela2[[#This Row],[A3 - 20 pts (projeto)]:[A3 -  10 pts (Online)]])</f>
        <v>#REF!</v>
      </c>
      <c r="K18" s="30" t="e">
        <f>Tabela2[[#This Row],[A3 - Final]]/40</f>
        <v>#REF!</v>
      </c>
      <c r="L18" s="30" t="e">
        <f>(Tabela2[[#This Row],[Percentual]]+Tabela2[[#This Row],[A2 - 30 pts2]]+Tabela2[[#This Row],[Percentual2]])/3</f>
        <v>#REF!</v>
      </c>
    </row>
    <row r="19" spans="1:12" ht="16.5" hidden="1">
      <c r="A19" s="17" t="s">
        <v>74</v>
      </c>
      <c r="B19" s="17" t="s">
        <v>65</v>
      </c>
      <c r="D19" s="22">
        <f>Tabela2[[#This Row],[A1 - 30 pts]]/20</f>
        <v>0</v>
      </c>
      <c r="E19" s="35"/>
      <c r="F19" s="30"/>
      <c r="G19" s="18">
        <v>20</v>
      </c>
      <c r="H19" s="3" t="e">
        <f>VLOOKUP(Tabela2[[#This Row],[Nome]],#REF!,12)</f>
        <v>#REF!</v>
      </c>
      <c r="I19" s="3" t="e">
        <f>VLOOKUP(Tabela2[[#This Row],[Nome]],#REF!,11)</f>
        <v>#REF!</v>
      </c>
      <c r="J19" s="3" t="e">
        <f>SUM(Tabela2[[#This Row],[A3 - 20 pts (projeto)]:[A3 -  10 pts (Online)]])</f>
        <v>#REF!</v>
      </c>
      <c r="K19" s="30" t="e">
        <f>Tabela2[[#This Row],[A3 - Final]]/40</f>
        <v>#REF!</v>
      </c>
      <c r="L19" s="30" t="e">
        <f>(Tabela2[[#This Row],[Percentual]]+Tabela2[[#This Row],[A2 - 30 pts2]]+Tabela2[[#This Row],[Percentual2]])/3</f>
        <v>#REF!</v>
      </c>
    </row>
    <row r="20" spans="1:12" ht="16.5" hidden="1">
      <c r="A20" s="17" t="s">
        <v>75</v>
      </c>
      <c r="B20" s="17" t="s">
        <v>65</v>
      </c>
      <c r="D20" s="22">
        <f>Tabela2[[#This Row],[A1 - 30 pts]]/20</f>
        <v>0</v>
      </c>
      <c r="E20" s="35"/>
      <c r="F20" s="30"/>
      <c r="G20" s="18">
        <v>15</v>
      </c>
      <c r="H20" s="3" t="e">
        <f>VLOOKUP(Tabela2[[#This Row],[Nome]],#REF!,12)</f>
        <v>#REF!</v>
      </c>
      <c r="I20" s="3" t="e">
        <f>VLOOKUP(Tabela2[[#This Row],[Nome]],#REF!,11)</f>
        <v>#REF!</v>
      </c>
      <c r="J20" s="3" t="e">
        <f>SUM(Tabela2[[#This Row],[A3 - 20 pts (projeto)]:[A3 -  10 pts (Online)]])</f>
        <v>#REF!</v>
      </c>
      <c r="K20" s="30" t="e">
        <f>Tabela2[[#This Row],[A3 - Final]]/40</f>
        <v>#REF!</v>
      </c>
      <c r="L20" s="30" t="e">
        <f>(Tabela2[[#This Row],[Percentual]]+Tabela2[[#This Row],[A2 - 30 pts2]]+Tabela2[[#This Row],[Percentual2]])/3</f>
        <v>#REF!</v>
      </c>
    </row>
    <row r="21" spans="1:12" ht="16.5">
      <c r="A21" s="17"/>
      <c r="B21" s="17"/>
      <c r="D21" s="22"/>
      <c r="E21" s="35"/>
      <c r="F21" s="30"/>
      <c r="G21" s="18"/>
      <c r="H21" s="3"/>
      <c r="I21" s="3"/>
      <c r="J21" s="3"/>
      <c r="K21" s="30"/>
      <c r="L21" s="30"/>
    </row>
    <row r="22" spans="1:12" ht="16.5" hidden="1">
      <c r="A22" s="17" t="s">
        <v>76</v>
      </c>
      <c r="B22" s="17" t="s">
        <v>65</v>
      </c>
      <c r="D22" s="22">
        <f>Tabela2[[#This Row],[A1 - 30 pts]]/20</f>
        <v>0</v>
      </c>
      <c r="E22" s="35"/>
      <c r="F22" s="30"/>
      <c r="G22" s="18">
        <v>18</v>
      </c>
      <c r="H22" s="3" t="e">
        <f>VLOOKUP(Tabela2[[#This Row],[Nome]],#REF!,12)</f>
        <v>#REF!</v>
      </c>
      <c r="I22" s="3" t="e">
        <f>VLOOKUP(Tabela2[[#This Row],[Nome]],#REF!,11)</f>
        <v>#REF!</v>
      </c>
      <c r="J22" s="3" t="e">
        <f>SUM(Tabela2[[#This Row],[A3 - 20 pts (projeto)]:[A3 -  10 pts (Online)]])</f>
        <v>#REF!</v>
      </c>
      <c r="K22" s="30" t="e">
        <f>Tabela2[[#This Row],[A3 - Final]]/40</f>
        <v>#REF!</v>
      </c>
      <c r="L22" s="30" t="e">
        <f>(Tabela2[[#This Row],[Percentual]]+Tabela2[[#This Row],[A2 - 30 pts2]]+Tabela2[[#This Row],[Percentual2]])/3</f>
        <v>#REF!</v>
      </c>
    </row>
    <row r="23" spans="1:12" ht="16.5" hidden="1">
      <c r="A23" s="17" t="s">
        <v>77</v>
      </c>
      <c r="B23" s="17" t="s">
        <v>65</v>
      </c>
      <c r="D23" s="22">
        <f>Tabela2[[#This Row],[A1 - 30 pts]]/20</f>
        <v>0</v>
      </c>
      <c r="E23" s="35"/>
      <c r="F23" s="30"/>
      <c r="G23" s="18">
        <v>16</v>
      </c>
      <c r="H23" s="3" t="e">
        <f>VLOOKUP(Tabela2[[#This Row],[Nome]],#REF!,12)</f>
        <v>#REF!</v>
      </c>
      <c r="I23" s="3" t="e">
        <f>VLOOKUP(Tabela2[[#This Row],[Nome]],#REF!,11)</f>
        <v>#REF!</v>
      </c>
      <c r="J23" s="3" t="e">
        <f>SUM(Tabela2[[#This Row],[A3 - 20 pts (projeto)]:[A3 -  10 pts (Online)]])</f>
        <v>#REF!</v>
      </c>
      <c r="K23" s="30" t="e">
        <f>Tabela2[[#This Row],[A3 - Final]]/40</f>
        <v>#REF!</v>
      </c>
      <c r="L23" s="30" t="e">
        <f>(Tabela2[[#This Row],[Percentual]]+Tabela2[[#This Row],[A2 - 30 pts2]]+Tabela2[[#This Row],[Percentual2]])/3</f>
        <v>#REF!</v>
      </c>
    </row>
    <row r="24" spans="1:12" ht="16.5" hidden="1">
      <c r="A24" s="17" t="s">
        <v>78</v>
      </c>
      <c r="B24" s="17" t="s">
        <v>65</v>
      </c>
      <c r="D24" s="23">
        <f>Tabela2[[#This Row],[A1 - 30 pts]]/20</f>
        <v>0</v>
      </c>
      <c r="E24" s="36"/>
      <c r="F24" s="31"/>
      <c r="G24" s="19">
        <v>16</v>
      </c>
      <c r="H24" s="7" t="e">
        <f>VLOOKUP(Tabela2[[#This Row],[Nome]],#REF!,12)</f>
        <v>#REF!</v>
      </c>
      <c r="I24" s="7" t="e">
        <f>VLOOKUP(Tabela2[[#This Row],[Nome]],#REF!,11)</f>
        <v>#REF!</v>
      </c>
      <c r="J24" s="3" t="e">
        <f>SUM(Tabela2[[#This Row],[A3 - 20 pts (projeto)]:[A3 -  10 pts (Online)]])</f>
        <v>#REF!</v>
      </c>
      <c r="K24" s="30" t="e">
        <f>Tabela2[[#This Row],[A3 - Final]]/40</f>
        <v>#REF!</v>
      </c>
      <c r="L24" s="30" t="e">
        <f>(Tabela2[[#This Row],[Percentual]]+Tabela2[[#This Row],[A2 - 30 pts2]]+Tabela2[[#This Row],[Percentual2]])/3</f>
        <v>#REF!</v>
      </c>
    </row>
    <row r="25" spans="1:12" ht="16.5" hidden="1">
      <c r="A25" s="17" t="s">
        <v>79</v>
      </c>
      <c r="B25" s="17" t="s">
        <v>65</v>
      </c>
      <c r="D25" s="22">
        <f>Tabela2[[#This Row],[A1 - 30 pts]]/20</f>
        <v>0</v>
      </c>
      <c r="E25" s="35"/>
      <c r="F25" s="30"/>
      <c r="G25" s="18">
        <v>15</v>
      </c>
      <c r="H25" s="3" t="e">
        <f>VLOOKUP(Tabela2[[#This Row],[Nome]],#REF!,12)</f>
        <v>#REF!</v>
      </c>
      <c r="I25" s="3" t="e">
        <f>VLOOKUP(Tabela2[[#This Row],[Nome]],#REF!,11)</f>
        <v>#REF!</v>
      </c>
      <c r="J25" s="3" t="e">
        <f>SUM(Tabela2[[#This Row],[A3 - 20 pts (projeto)]:[A3 -  10 pts (Online)]])</f>
        <v>#REF!</v>
      </c>
      <c r="K25" s="30" t="e">
        <f>Tabela2[[#This Row],[A3 - Final]]/40</f>
        <v>#REF!</v>
      </c>
      <c r="L25" s="30" t="e">
        <f>(Tabela2[[#This Row],[Percentual]]+Tabela2[[#This Row],[A2 - 30 pts2]]+Tabela2[[#This Row],[Percentual2]])/3</f>
        <v>#REF!</v>
      </c>
    </row>
    <row r="26" spans="1:12" ht="16.5">
      <c r="A26" s="17"/>
      <c r="B26" s="17"/>
      <c r="D26" s="22"/>
      <c r="E26" s="35"/>
      <c r="F26" s="30"/>
      <c r="G26" s="18"/>
      <c r="H26" s="3"/>
      <c r="I26" s="3"/>
      <c r="J26" s="3"/>
      <c r="K26" s="30"/>
      <c r="L26" s="30"/>
    </row>
    <row r="27" spans="1:12" ht="16.5">
      <c r="A27" s="17"/>
      <c r="B27" s="17"/>
      <c r="D27" s="22"/>
      <c r="E27" s="35"/>
      <c r="F27" s="30"/>
      <c r="G27" s="18"/>
      <c r="H27" s="3"/>
      <c r="I27" s="3"/>
      <c r="J27" s="3"/>
      <c r="K27" s="30"/>
      <c r="L27" s="30"/>
    </row>
    <row r="28" spans="1:12" ht="16.5" hidden="1">
      <c r="A28" s="17" t="s">
        <v>80</v>
      </c>
      <c r="B28" s="17" t="s">
        <v>65</v>
      </c>
      <c r="D28" s="22">
        <f>Tabela2[[#This Row],[A1 - 30 pts]]/20</f>
        <v>0</v>
      </c>
      <c r="E28" s="35"/>
      <c r="F28" s="30"/>
      <c r="G28" s="18">
        <v>20</v>
      </c>
      <c r="H28" s="3" t="e">
        <f>VLOOKUP(Tabela2[[#This Row],[Nome]],#REF!,12)</f>
        <v>#REF!</v>
      </c>
      <c r="I28" s="3" t="e">
        <f>VLOOKUP(Tabela2[[#This Row],[Nome]],#REF!,11)</f>
        <v>#REF!</v>
      </c>
      <c r="J28" s="3" t="e">
        <f>SUM(Tabela2[[#This Row],[A3 - 20 pts (projeto)]:[A3 -  10 pts (Online)]])</f>
        <v>#REF!</v>
      </c>
      <c r="K28" s="30" t="e">
        <f>Tabela2[[#This Row],[A3 - Final]]/40</f>
        <v>#REF!</v>
      </c>
      <c r="L28" s="30" t="e">
        <f>(Tabela2[[#This Row],[Percentual]]+Tabela2[[#This Row],[A2 - 30 pts2]]+Tabela2[[#This Row],[Percentual2]])/3</f>
        <v>#REF!</v>
      </c>
    </row>
    <row r="29" spans="1:12" ht="16.5" hidden="1">
      <c r="A29" s="17" t="s">
        <v>81</v>
      </c>
      <c r="B29" s="17" t="s">
        <v>65</v>
      </c>
      <c r="D29" s="22">
        <f>Tabela2[[#This Row],[A1 - 30 pts]]/20</f>
        <v>0</v>
      </c>
      <c r="E29" s="38"/>
      <c r="F29" s="39"/>
      <c r="G29" s="18">
        <v>20</v>
      </c>
      <c r="H29" s="40" t="e">
        <f>VLOOKUP(Tabela2[[#This Row],[Nome]],#REF!,12)</f>
        <v>#REF!</v>
      </c>
      <c r="I29" s="40" t="e">
        <f>VLOOKUP(Tabela2[[#This Row],[Nome]],#REF!,11)</f>
        <v>#REF!</v>
      </c>
      <c r="J29" s="40" t="e">
        <f>SUM(Tabela2[[#This Row],[A3 - 20 pts (projeto)]:[A3 -  10 pts (Online)]])</f>
        <v>#REF!</v>
      </c>
      <c r="K29" s="39" t="e">
        <f>Tabela2[[#This Row],[A3 - Final]]/40</f>
        <v>#REF!</v>
      </c>
      <c r="L29" s="39" t="e">
        <f>(Tabela2[[#This Row],[Percentual]]+Tabela2[[#This Row],[A2 - 30 pts2]]+Tabela2[[#This Row],[Percentual2]])/3</f>
        <v>#REF!</v>
      </c>
    </row>
    <row r="30" spans="1:12" ht="16.5" hidden="1">
      <c r="A30" s="17" t="s">
        <v>82</v>
      </c>
      <c r="B30" s="17" t="s">
        <v>65</v>
      </c>
      <c r="D30" s="22">
        <f>Tabela2[[#This Row],[A1 - 30 pts]]/20</f>
        <v>0</v>
      </c>
      <c r="E30" s="35"/>
      <c r="F30" s="30"/>
      <c r="G30" s="18">
        <v>16</v>
      </c>
      <c r="H30" s="3" t="e">
        <f>VLOOKUP(Tabela2[[#This Row],[Nome]],#REF!,12)</f>
        <v>#REF!</v>
      </c>
      <c r="I30" s="3" t="e">
        <f>VLOOKUP(Tabela2[[#This Row],[Nome]],#REF!,11)</f>
        <v>#REF!</v>
      </c>
      <c r="J30" s="3" t="e">
        <f>SUM(Tabela2[[#This Row],[A3 - 20 pts (projeto)]:[A3 -  10 pts (Online)]])</f>
        <v>#REF!</v>
      </c>
      <c r="K30" s="30" t="e">
        <f>Tabela2[[#This Row],[A3 - Final]]/40</f>
        <v>#REF!</v>
      </c>
      <c r="L30" s="30" t="e">
        <f>(Tabela2[[#This Row],[Percentual]]+Tabela2[[#This Row],[A2 - 30 pts2]]+Tabela2[[#This Row],[Percentual2]])/3</f>
        <v>#REF!</v>
      </c>
    </row>
    <row r="31" spans="1:12" ht="16.5">
      <c r="A31" s="17"/>
      <c r="B31" s="17"/>
      <c r="D31" s="22"/>
      <c r="E31" s="35"/>
      <c r="F31" s="30"/>
      <c r="G31" s="18"/>
      <c r="H31" s="3"/>
      <c r="I31" s="3"/>
      <c r="J31" s="3"/>
      <c r="K31" s="30"/>
      <c r="L31" s="30"/>
    </row>
    <row r="32" spans="1:12" ht="16.5" hidden="1">
      <c r="A32" s="17" t="s">
        <v>83</v>
      </c>
      <c r="B32" s="17" t="s">
        <v>65</v>
      </c>
      <c r="D32" s="22">
        <f>Tabela2[[#This Row],[A1 - 30 pts]]/20</f>
        <v>0</v>
      </c>
      <c r="E32" s="35"/>
      <c r="F32" s="30"/>
      <c r="G32" s="18">
        <v>17.5</v>
      </c>
      <c r="H32" s="3" t="e">
        <f>VLOOKUP(Tabela2[[#This Row],[Nome]],#REF!,12)</f>
        <v>#REF!</v>
      </c>
      <c r="I32" s="3" t="e">
        <f>VLOOKUP(Tabela2[[#This Row],[Nome]],#REF!,11)</f>
        <v>#REF!</v>
      </c>
      <c r="J32" s="3" t="e">
        <f>SUM(Tabela2[[#This Row],[A3 - 20 pts (projeto)]:[A3 -  10 pts (Online)]])</f>
        <v>#REF!</v>
      </c>
      <c r="K32" s="30" t="e">
        <f>Tabela2[[#This Row],[A3 - Final]]/40</f>
        <v>#REF!</v>
      </c>
      <c r="L32" s="30" t="e">
        <f>(Tabela2[[#This Row],[Percentual]]+Tabela2[[#This Row],[A2 - 30 pts2]]+Tabela2[[#This Row],[Percentual2]])/3</f>
        <v>#REF!</v>
      </c>
    </row>
    <row r="33" spans="1:12" ht="15.75" hidden="1">
      <c r="A33" s="17" t="s">
        <v>84</v>
      </c>
      <c r="B33" s="17" t="s">
        <v>65</v>
      </c>
      <c r="D33" s="22">
        <f>Tabela2[[#This Row],[A1 - 30 pts]]/20</f>
        <v>0</v>
      </c>
      <c r="E33" s="35"/>
      <c r="F33" s="30"/>
      <c r="G33" s="18">
        <v>16</v>
      </c>
      <c r="H33" s="3" t="e">
        <f>VLOOKUP(Tabela2[[#This Row],[Nome]],#REF!,12)</f>
        <v>#REF!</v>
      </c>
      <c r="I33" s="3" t="e">
        <f>VLOOKUP(Tabela2[[#This Row],[Nome]],#REF!,11)</f>
        <v>#REF!</v>
      </c>
      <c r="J33" s="3" t="e">
        <f>SUM(Tabela2[[#This Row],[A3 - 20 pts (projeto)]:[A3 -  10 pts (Online)]])</f>
        <v>#REF!</v>
      </c>
      <c r="K33" s="30" t="e">
        <f>Tabela2[[#This Row],[A3 - Final]]/40</f>
        <v>#REF!</v>
      </c>
      <c r="L33" s="30" t="e">
        <f>(Tabela2[[#This Row],[Percentual]]+Tabela2[[#This Row],[A2 - 30 pts2]]+Tabela2[[#This Row],[Percentual2]])/3</f>
        <v>#REF!</v>
      </c>
    </row>
    <row r="34" spans="1:12" ht="16.5">
      <c r="A34" s="17"/>
      <c r="B34" s="17"/>
      <c r="D34" s="22"/>
      <c r="E34" s="35"/>
      <c r="F34" s="30"/>
      <c r="G34" s="18"/>
      <c r="H34" s="3"/>
      <c r="I34" s="3"/>
      <c r="J34" s="3"/>
      <c r="K34" s="30"/>
      <c r="L34" s="30"/>
    </row>
    <row r="35" spans="1:12" ht="16.5" hidden="1">
      <c r="A35" s="17" t="s">
        <v>85</v>
      </c>
      <c r="B35" s="17" t="s">
        <v>65</v>
      </c>
      <c r="D35" s="22">
        <f>Tabela2[[#This Row],[A1 - 30 pts]]/20</f>
        <v>0</v>
      </c>
      <c r="E35" s="35"/>
      <c r="F35" s="30"/>
      <c r="G35" s="18">
        <v>20</v>
      </c>
      <c r="H35" s="3" t="e">
        <f>VLOOKUP(Tabela2[[#This Row],[Nome]],#REF!,12)</f>
        <v>#REF!</v>
      </c>
      <c r="I35" s="3" t="e">
        <f>VLOOKUP(Tabela2[[#This Row],[Nome]],#REF!,11)</f>
        <v>#REF!</v>
      </c>
      <c r="J35" s="3" t="e">
        <f>SUM(Tabela2[[#This Row],[A3 - 20 pts (projeto)]:[A3 -  10 pts (Online)]])</f>
        <v>#REF!</v>
      </c>
      <c r="K35" s="30" t="e">
        <f>Tabela2[[#This Row],[A3 - Final]]/40</f>
        <v>#REF!</v>
      </c>
      <c r="L35" s="30" t="e">
        <f>(Tabela2[[#This Row],[Percentual]]+Tabela2[[#This Row],[A2 - 30 pts2]]+Tabela2[[#This Row],[Percentual2]])/3</f>
        <v>#REF!</v>
      </c>
    </row>
    <row r="36" spans="1:12" ht="16.5" hidden="1">
      <c r="A36" s="17" t="s">
        <v>86</v>
      </c>
      <c r="B36" s="17" t="s">
        <v>65</v>
      </c>
      <c r="D36" s="23">
        <f>Tabela2[[#This Row],[A1 - 30 pts]]/20</f>
        <v>0</v>
      </c>
      <c r="E36" s="36"/>
      <c r="F36" s="31"/>
      <c r="G36" s="18">
        <v>20</v>
      </c>
      <c r="H36" s="7" t="e">
        <f>VLOOKUP(Tabela2[[#This Row],[Nome]],#REF!,12)</f>
        <v>#REF!</v>
      </c>
      <c r="I36" s="7" t="e">
        <f>VLOOKUP(Tabela2[[#This Row],[Nome]],#REF!,11)</f>
        <v>#REF!</v>
      </c>
      <c r="J36" s="7" t="e">
        <f>SUM(Tabela2[[#This Row],[A3 - 20 pts (projeto)]:[A3 -  10 pts (Online)]])</f>
        <v>#REF!</v>
      </c>
      <c r="K36" s="31" t="e">
        <f>Tabela2[[#This Row],[A3 - Final]]/40</f>
        <v>#REF!</v>
      </c>
      <c r="L36" s="31" t="e">
        <f>(Tabela2[[#This Row],[Percentual]]+Tabela2[[#This Row],[A2 - 30 pts2]]+Tabela2[[#This Row],[Percentual2]])/3</f>
        <v>#REF!</v>
      </c>
    </row>
    <row r="37" spans="1:12" ht="16.5" hidden="1">
      <c r="A37" s="17" t="s">
        <v>87</v>
      </c>
      <c r="B37" s="17" t="s">
        <v>65</v>
      </c>
      <c r="D37" s="22">
        <f>Tabela2[[#This Row],[A1 - 30 pts]]/20</f>
        <v>0</v>
      </c>
      <c r="E37" s="35"/>
      <c r="F37" s="30"/>
      <c r="G37" s="18">
        <v>18</v>
      </c>
      <c r="H37" s="3" t="e">
        <f>VLOOKUP(Tabela2[[#This Row],[Nome]],#REF!,12)</f>
        <v>#REF!</v>
      </c>
      <c r="I37" s="3" t="e">
        <f>VLOOKUP(Tabela2[[#This Row],[Nome]],#REF!,11)</f>
        <v>#REF!</v>
      </c>
      <c r="J37" s="3" t="e">
        <f>SUM(Tabela2[[#This Row],[A3 - 20 pts (projeto)]:[A3 -  10 pts (Online)]])</f>
        <v>#REF!</v>
      </c>
      <c r="K37" s="30" t="e">
        <f>Tabela2[[#This Row],[A3 - Final]]/40</f>
        <v>#REF!</v>
      </c>
      <c r="L37" s="30" t="e">
        <f>(Tabela2[[#This Row],[Percentual]]+Tabela2[[#This Row],[A2 - 30 pts2]]+Tabela2[[#This Row],[Percentual2]])/3</f>
        <v>#REF!</v>
      </c>
    </row>
    <row r="38" spans="1:12" ht="16.5">
      <c r="A38" s="17"/>
      <c r="B38" s="17"/>
      <c r="D38" s="22"/>
      <c r="E38" s="35"/>
      <c r="F38" s="30"/>
      <c r="G38" s="18"/>
      <c r="H38" s="3"/>
      <c r="I38" s="3"/>
      <c r="J38" s="3"/>
      <c r="K38" s="30"/>
      <c r="L38" s="30"/>
    </row>
    <row r="39" spans="1:12" ht="16.5">
      <c r="A39" s="17"/>
      <c r="B39" s="17"/>
      <c r="D39" s="22"/>
      <c r="E39" s="35"/>
      <c r="F39" s="30"/>
      <c r="G39" s="18"/>
      <c r="H39" s="3"/>
      <c r="I39" s="3"/>
      <c r="J39" s="3"/>
      <c r="K39" s="30"/>
      <c r="L39" s="30"/>
    </row>
    <row r="40" spans="1:12" ht="16.5">
      <c r="A40" s="17"/>
      <c r="B40" s="17"/>
      <c r="D40" s="22"/>
      <c r="E40" s="35"/>
      <c r="F40" s="30"/>
      <c r="G40" s="18"/>
      <c r="H40" s="3"/>
      <c r="I40" s="3"/>
      <c r="J40" s="3"/>
      <c r="K40" s="30"/>
      <c r="L40" s="30"/>
    </row>
    <row r="41" spans="1:12" ht="16.5" hidden="1">
      <c r="A41" s="17" t="s">
        <v>88</v>
      </c>
      <c r="B41" s="17" t="s">
        <v>65</v>
      </c>
      <c r="D41" s="22">
        <f>Tabela2[[#This Row],[A1 - 30 pts]]/20</f>
        <v>0</v>
      </c>
      <c r="E41" s="35"/>
      <c r="F41" s="30"/>
      <c r="G41" s="18">
        <v>20</v>
      </c>
      <c r="H41" s="3" t="e">
        <f>VLOOKUP(Tabela2[[#This Row],[Nome]],#REF!,12)</f>
        <v>#REF!</v>
      </c>
      <c r="I41" s="3" t="e">
        <f>VLOOKUP(Tabela2[[#This Row],[Nome]],#REF!,11)</f>
        <v>#REF!</v>
      </c>
      <c r="J41" s="3" t="e">
        <f>SUM(Tabela2[[#This Row],[A3 - 20 pts (projeto)]:[A3 -  10 pts (Online)]])</f>
        <v>#REF!</v>
      </c>
      <c r="K41" s="30" t="e">
        <f>Tabela2[[#This Row],[A3 - Final]]/40</f>
        <v>#REF!</v>
      </c>
      <c r="L41" s="30" t="e">
        <f>(Tabela2[[#This Row],[Percentual]]+Tabela2[[#This Row],[A2 - 30 pts2]]+Tabela2[[#This Row],[Percentual2]])/3</f>
        <v>#REF!</v>
      </c>
    </row>
    <row r="42" spans="1:12" ht="16.5">
      <c r="A42" s="17"/>
      <c r="B42" s="17"/>
      <c r="D42" s="22"/>
      <c r="E42" s="35"/>
      <c r="F42" s="30"/>
      <c r="G42" s="18"/>
      <c r="H42" s="3"/>
      <c r="I42" s="3"/>
      <c r="J42" s="3"/>
      <c r="K42" s="30"/>
      <c r="L42" s="30"/>
    </row>
    <row r="43" spans="1:12" ht="16.5">
      <c r="A43" s="17"/>
      <c r="B43" s="17"/>
      <c r="D43" s="22"/>
      <c r="E43" s="35"/>
      <c r="F43" s="30"/>
      <c r="G43" s="18"/>
      <c r="H43" s="3"/>
      <c r="I43" s="3"/>
      <c r="J43" s="3"/>
      <c r="K43" s="30"/>
      <c r="L43" s="30"/>
    </row>
    <row r="44" spans="1:12" ht="16.5">
      <c r="A44" s="17"/>
      <c r="B44" s="17"/>
      <c r="D44" s="22"/>
      <c r="E44" s="35"/>
      <c r="F44" s="30"/>
      <c r="G44" s="18"/>
      <c r="H44" s="3"/>
      <c r="I44" s="3"/>
      <c r="J44" s="3"/>
      <c r="K44" s="30"/>
      <c r="L44" s="30"/>
    </row>
    <row r="45" spans="1:12" ht="16.5" hidden="1">
      <c r="A45" s="17" t="s">
        <v>89</v>
      </c>
      <c r="B45" s="17" t="s">
        <v>65</v>
      </c>
      <c r="D45" s="22">
        <f>Tabela2[[#This Row],[A1 - 30 pts]]/20</f>
        <v>0</v>
      </c>
      <c r="E45" s="35"/>
      <c r="F45" s="30"/>
      <c r="G45" s="18">
        <v>20</v>
      </c>
      <c r="H45" s="3" t="e">
        <f>VLOOKUP(Tabela2[[#This Row],[Nome]],#REF!,12)</f>
        <v>#REF!</v>
      </c>
      <c r="I45" s="3" t="e">
        <f>VLOOKUP(Tabela2[[#This Row],[Nome]],#REF!,11)</f>
        <v>#REF!</v>
      </c>
      <c r="J45" s="3" t="e">
        <f>SUM(Tabela2[[#This Row],[A3 - 20 pts (projeto)]:[A3 -  10 pts (Online)]])</f>
        <v>#REF!</v>
      </c>
      <c r="K45" s="30" t="e">
        <f>Tabela2[[#This Row],[A3 - Final]]/40</f>
        <v>#REF!</v>
      </c>
      <c r="L45" s="30" t="e">
        <f>(Tabela2[[#This Row],[Percentual]]+Tabela2[[#This Row],[A2 - 30 pts2]]+Tabela2[[#This Row],[Percentual2]])/3</f>
        <v>#REF!</v>
      </c>
    </row>
    <row r="46" spans="1:12" ht="15.75" hidden="1">
      <c r="A46" s="17" t="s">
        <v>90</v>
      </c>
      <c r="B46" s="17" t="s">
        <v>65</v>
      </c>
      <c r="D46" s="22">
        <f>Tabela2[[#This Row],[A1 - 30 pts]]/20</f>
        <v>0</v>
      </c>
      <c r="E46" s="35"/>
      <c r="F46" s="30"/>
      <c r="G46" s="18">
        <v>12</v>
      </c>
      <c r="H46" s="3" t="e">
        <f>VLOOKUP(Tabela2[[#This Row],[Nome]],#REF!,12)</f>
        <v>#REF!</v>
      </c>
      <c r="I46" s="3" t="e">
        <f>VLOOKUP(Tabela2[[#This Row],[Nome]],#REF!,11)</f>
        <v>#REF!</v>
      </c>
      <c r="J46" s="3" t="e">
        <f>SUM(Tabela2[[#This Row],[A3 - 20 pts (projeto)]:[A3 -  10 pts (Online)]])</f>
        <v>#REF!</v>
      </c>
      <c r="K46" s="30" t="e">
        <f>Tabela2[[#This Row],[A3 - Final]]/40</f>
        <v>#REF!</v>
      </c>
      <c r="L46" s="30" t="e">
        <f>(Tabela2[[#This Row],[Percentual]]+Tabela2[[#This Row],[A2 - 30 pts2]]+Tabela2[[#This Row],[Percentual2]])/3</f>
        <v>#REF!</v>
      </c>
    </row>
    <row r="47" spans="1:12" ht="16.5">
      <c r="A47" s="17"/>
      <c r="B47" s="17"/>
      <c r="D47" s="22"/>
      <c r="E47" s="35"/>
      <c r="F47" s="30"/>
      <c r="G47" s="18"/>
      <c r="H47" s="3"/>
      <c r="I47" s="3"/>
      <c r="J47" s="3"/>
      <c r="K47" s="30"/>
      <c r="L47" s="30"/>
    </row>
    <row r="48" spans="1:12" ht="15.75" hidden="1">
      <c r="A48" s="17" t="s">
        <v>91</v>
      </c>
      <c r="B48" s="17" t="s">
        <v>65</v>
      </c>
      <c r="D48" s="22">
        <f>Tabela2[[#This Row],[A1 - 30 pts]]/20</f>
        <v>0</v>
      </c>
      <c r="E48" s="35"/>
      <c r="F48" s="30"/>
      <c r="G48" s="18">
        <v>16</v>
      </c>
      <c r="H48" s="3" t="e">
        <f>VLOOKUP(Tabela2[[#This Row],[Nome]],#REF!,12)</f>
        <v>#REF!</v>
      </c>
      <c r="I48" s="3" t="e">
        <f>VLOOKUP(Tabela2[[#This Row],[Nome]],#REF!,11)</f>
        <v>#REF!</v>
      </c>
      <c r="J48" s="3" t="e">
        <f>SUM(Tabela2[[#This Row],[A3 - 20 pts (projeto)]:[A3 -  10 pts (Online)]])</f>
        <v>#REF!</v>
      </c>
      <c r="K48" s="30" t="e">
        <f>Tabela2[[#This Row],[A3 - Final]]/40</f>
        <v>#REF!</v>
      </c>
      <c r="L48" s="30" t="e">
        <f>(Tabela2[[#This Row],[Percentual]]+Tabela2[[#This Row],[A2 - 30 pts2]]+Tabela2[[#This Row],[Percentual2]])/3</f>
        <v>#REF!</v>
      </c>
    </row>
    <row r="49" spans="1:12" ht="16.5">
      <c r="A49" s="17"/>
      <c r="B49" s="17"/>
      <c r="D49" s="22"/>
      <c r="E49" s="35"/>
      <c r="F49" s="30"/>
      <c r="G49" s="18"/>
      <c r="H49" s="3"/>
      <c r="I49" s="3"/>
      <c r="J49" s="3"/>
      <c r="K49" s="30"/>
      <c r="L49" s="30"/>
    </row>
    <row r="50" spans="1:12" ht="16.5">
      <c r="A50" s="17"/>
      <c r="B50" s="17"/>
      <c r="D50" s="22"/>
      <c r="E50" s="35"/>
      <c r="F50" s="30"/>
      <c r="G50" s="18"/>
      <c r="H50" s="3"/>
      <c r="I50" s="3"/>
      <c r="J50" s="3"/>
      <c r="K50" s="30"/>
      <c r="L50" s="30"/>
    </row>
    <row r="51" spans="1:12" ht="16.5">
      <c r="A51" s="17"/>
      <c r="B51" s="17"/>
      <c r="D51" s="22"/>
      <c r="E51" s="35"/>
      <c r="F51" s="30"/>
      <c r="G51" s="19"/>
      <c r="H51" s="3"/>
      <c r="I51" s="3"/>
      <c r="J51" s="3"/>
      <c r="K51" s="30"/>
      <c r="L51" s="30"/>
    </row>
    <row r="52" spans="1:12" ht="16.5" hidden="1">
      <c r="A52" s="17" t="s">
        <v>92</v>
      </c>
      <c r="B52" s="17" t="s">
        <v>65</v>
      </c>
      <c r="D52" s="22">
        <f>Tabela2[[#This Row],[A1 - 30 pts]]/20</f>
        <v>0</v>
      </c>
      <c r="E52" s="35"/>
      <c r="F52" s="30"/>
      <c r="G52" s="18">
        <v>20</v>
      </c>
      <c r="H52" s="3" t="e">
        <f>VLOOKUP(Tabela2[[#This Row],[Nome]],#REF!,12)</f>
        <v>#REF!</v>
      </c>
      <c r="I52" s="3" t="e">
        <f>VLOOKUP(Tabela2[[#This Row],[Nome]],#REF!,11)</f>
        <v>#REF!</v>
      </c>
      <c r="J52" s="3" t="e">
        <f>SUM(Tabela2[[#This Row],[A3 - 20 pts (projeto)]:[A3 -  10 pts (Online)]])</f>
        <v>#REF!</v>
      </c>
      <c r="K52" s="30" t="e">
        <f>Tabela2[[#This Row],[A3 - Final]]/40</f>
        <v>#REF!</v>
      </c>
      <c r="L52" s="30" t="e">
        <f>(Tabela2[[#This Row],[Percentual]]+Tabela2[[#This Row],[A2 - 30 pts2]]+Tabela2[[#This Row],[Percentual2]])/3</f>
        <v>#REF!</v>
      </c>
    </row>
    <row r="53" spans="1:12" ht="16.5">
      <c r="A53" s="17"/>
      <c r="B53" s="17"/>
      <c r="D53" s="22"/>
      <c r="E53" s="35"/>
      <c r="F53" s="30"/>
      <c r="G53" s="18"/>
      <c r="H53" s="3"/>
      <c r="I53" s="3"/>
      <c r="J53" s="3"/>
      <c r="K53" s="30"/>
      <c r="L53" s="30"/>
    </row>
    <row r="54" spans="1:12" ht="16.5" hidden="1">
      <c r="A54" s="17" t="s">
        <v>93</v>
      </c>
      <c r="B54" s="17" t="s">
        <v>65</v>
      </c>
      <c r="D54" s="22">
        <f>Tabela2[[#This Row],[A1 - 30 pts]]/20</f>
        <v>0</v>
      </c>
      <c r="E54" s="35"/>
      <c r="F54" s="30"/>
      <c r="G54" s="18">
        <v>20</v>
      </c>
      <c r="H54" s="3" t="e">
        <f>VLOOKUP(Tabela2[[#This Row],[Nome]],#REF!,12)</f>
        <v>#REF!</v>
      </c>
      <c r="I54" s="3" t="e">
        <f>VLOOKUP(Tabela2[[#This Row],[Nome]],#REF!,11)</f>
        <v>#REF!</v>
      </c>
      <c r="J54" s="3" t="e">
        <f>SUM(Tabela2[[#This Row],[A3 - 20 pts (projeto)]:[A3 -  10 pts (Online)]])</f>
        <v>#REF!</v>
      </c>
      <c r="K54" s="30" t="e">
        <f>Tabela2[[#This Row],[A3 - Final]]/40</f>
        <v>#REF!</v>
      </c>
      <c r="L54" s="30" t="e">
        <f>(Tabela2[[#This Row],[Percentual]]+Tabela2[[#This Row],[A2 - 30 pts2]]+Tabela2[[#This Row],[Percentual2]])/3</f>
        <v>#REF!</v>
      </c>
    </row>
    <row r="55" spans="1:12" ht="16.5">
      <c r="A55" s="17"/>
      <c r="B55" s="17"/>
      <c r="D55" s="22"/>
      <c r="E55" s="35"/>
      <c r="F55" s="30"/>
      <c r="G55" s="18"/>
      <c r="H55" s="3"/>
      <c r="I55" s="3"/>
      <c r="J55" s="3"/>
      <c r="K55" s="30"/>
      <c r="L55" s="30"/>
    </row>
    <row r="56" spans="1:12" ht="16.5">
      <c r="A56" s="17"/>
      <c r="B56" s="17"/>
      <c r="D56" s="22"/>
      <c r="E56" s="35"/>
      <c r="F56" s="30"/>
      <c r="G56" s="18"/>
      <c r="H56" s="3"/>
      <c r="I56" s="3"/>
      <c r="J56" s="3"/>
      <c r="K56" s="30"/>
      <c r="L56" s="30"/>
    </row>
    <row r="57" spans="1:12" ht="16.5">
      <c r="A57" s="17"/>
      <c r="B57" s="17"/>
      <c r="D57" s="22"/>
      <c r="E57" s="35"/>
      <c r="F57" s="30"/>
      <c r="G57" s="18"/>
      <c r="H57" s="3"/>
      <c r="I57" s="3"/>
      <c r="J57" s="3"/>
      <c r="K57" s="30"/>
      <c r="L57" s="30"/>
    </row>
    <row r="58" spans="1:12" ht="16.5" hidden="1">
      <c r="A58" s="17" t="s">
        <v>94</v>
      </c>
      <c r="B58" s="17" t="s">
        <v>65</v>
      </c>
      <c r="D58" s="22">
        <f>Tabela2[[#This Row],[A1 - 30 pts]]/20</f>
        <v>0</v>
      </c>
      <c r="E58" s="35"/>
      <c r="F58" s="30"/>
      <c r="G58" s="18">
        <v>20</v>
      </c>
      <c r="H58" s="3" t="e">
        <f>VLOOKUP(Tabela2[[#This Row],[Nome]],#REF!,12)</f>
        <v>#REF!</v>
      </c>
      <c r="I58" s="3" t="e">
        <f>VLOOKUP(Tabela2[[#This Row],[Nome]],#REF!,11)</f>
        <v>#REF!</v>
      </c>
      <c r="J58" s="3" t="e">
        <f>SUM(Tabela2[[#This Row],[A3 - 20 pts (projeto)]:[A3 -  10 pts (Online)]])</f>
        <v>#REF!</v>
      </c>
      <c r="K58" s="30" t="e">
        <f>Tabela2[[#This Row],[A3 - Final]]/40</f>
        <v>#REF!</v>
      </c>
      <c r="L58" s="30" t="e">
        <f>(Tabela2[[#This Row],[Percentual]]+Tabela2[[#This Row],[A2 - 30 pts2]]+Tabela2[[#This Row],[Percentual2]])/3</f>
        <v>#REF!</v>
      </c>
    </row>
    <row r="59" spans="1:12" ht="16.5">
      <c r="A59" s="17"/>
      <c r="B59" s="17"/>
      <c r="D59" s="22"/>
      <c r="E59" s="35"/>
      <c r="F59" s="30"/>
      <c r="G59" s="18"/>
      <c r="H59" s="3"/>
      <c r="I59" s="3"/>
      <c r="J59" s="3"/>
      <c r="K59" s="30"/>
      <c r="L59" s="30"/>
    </row>
    <row r="60" spans="1:12" ht="16.5">
      <c r="A60" s="17"/>
      <c r="B60" s="17"/>
      <c r="D60" s="22"/>
      <c r="E60" s="35"/>
      <c r="F60" s="30"/>
      <c r="G60" s="18"/>
      <c r="H60" s="3"/>
      <c r="I60" s="3"/>
      <c r="J60" s="3"/>
      <c r="K60" s="30"/>
      <c r="L60" s="30"/>
    </row>
    <row r="61" spans="1:12" ht="16.5">
      <c r="A61" s="17"/>
      <c r="B61" s="17"/>
      <c r="D61" s="22"/>
      <c r="E61" s="35"/>
      <c r="F61" s="30"/>
      <c r="G61" s="18"/>
      <c r="H61" s="3"/>
      <c r="I61" s="3"/>
      <c r="J61" s="3"/>
      <c r="K61" s="30"/>
      <c r="L61" s="30"/>
    </row>
    <row r="62" spans="1:12" ht="16.5" hidden="1">
      <c r="A62" s="17" t="s">
        <v>95</v>
      </c>
      <c r="B62" s="17" t="s">
        <v>65</v>
      </c>
      <c r="D62" s="22">
        <f>Tabela2[[#This Row],[A1 - 30 pts]]/20</f>
        <v>0</v>
      </c>
      <c r="E62" s="35"/>
      <c r="F62" s="30"/>
      <c r="G62" s="18">
        <v>20</v>
      </c>
      <c r="H62" s="3" t="e">
        <f>VLOOKUP(Tabela2[[#This Row],[Nome]],#REF!,12)</f>
        <v>#REF!</v>
      </c>
      <c r="I62" s="3" t="e">
        <f>VLOOKUP(Tabela2[[#This Row],[Nome]],#REF!,11)</f>
        <v>#REF!</v>
      </c>
      <c r="J62" s="3" t="e">
        <f>SUM(Tabela2[[#This Row],[A3 - 20 pts (projeto)]:[A3 -  10 pts (Online)]])</f>
        <v>#REF!</v>
      </c>
      <c r="K62" s="30" t="e">
        <f>Tabela2[[#This Row],[A3 - Final]]/40</f>
        <v>#REF!</v>
      </c>
      <c r="L62" s="30" t="e">
        <f>(Tabela2[[#This Row],[Percentual]]+Tabela2[[#This Row],[A2 - 30 pts2]]+Tabela2[[#This Row],[Percentual2]])/3</f>
        <v>#REF!</v>
      </c>
    </row>
    <row r="63" spans="1:12" ht="16.5" hidden="1">
      <c r="A63" s="17" t="s">
        <v>96</v>
      </c>
      <c r="B63" s="17" t="s">
        <v>65</v>
      </c>
      <c r="D63" s="22">
        <f>Tabela2[[#This Row],[A1 - 30 pts]]/20</f>
        <v>0</v>
      </c>
      <c r="E63" s="35"/>
      <c r="F63" s="30"/>
      <c r="G63" s="18">
        <v>20</v>
      </c>
      <c r="H63" s="3" t="e">
        <f>VLOOKUP(Tabela2[[#This Row],[Nome]],#REF!,12)</f>
        <v>#REF!</v>
      </c>
      <c r="I63" s="3" t="e">
        <f>VLOOKUP(Tabela2[[#This Row],[Nome]],#REF!,11)</f>
        <v>#REF!</v>
      </c>
      <c r="J63" s="3" t="e">
        <f>SUM(Tabela2[[#This Row],[A3 - 20 pts (projeto)]:[A3 -  10 pts (Online)]])</f>
        <v>#REF!</v>
      </c>
      <c r="K63" s="30" t="e">
        <f>Tabela2[[#This Row],[A3 - Final]]/40</f>
        <v>#REF!</v>
      </c>
      <c r="L63" s="30" t="e">
        <f>(Tabela2[[#This Row],[Percentual]]+Tabela2[[#This Row],[A2 - 30 pts2]]+Tabela2[[#This Row],[Percentual2]])/3</f>
        <v>#REF!</v>
      </c>
    </row>
    <row r="64" spans="1:12" ht="16.5">
      <c r="A64" s="17"/>
      <c r="B64" s="17"/>
      <c r="D64" s="22"/>
      <c r="E64" s="35"/>
      <c r="F64" s="30"/>
      <c r="G64" s="18"/>
      <c r="H64" s="3"/>
      <c r="I64" s="3"/>
      <c r="J64" s="3"/>
      <c r="K64" s="30"/>
      <c r="L64" s="30"/>
    </row>
    <row r="65" spans="3:12">
      <c r="C65" s="19"/>
      <c r="D65" s="19"/>
      <c r="E65" s="19"/>
      <c r="F65" s="19"/>
      <c r="G65" s="43"/>
      <c r="H65" s="43"/>
      <c r="I65" s="43"/>
      <c r="J65" s="43"/>
      <c r="K65" s="43"/>
      <c r="L65" s="43"/>
    </row>
  </sheetData>
  <conditionalFormatting sqref="L1:L64 L66:L1048576">
    <cfRule type="cellIs" dxfId="24" priority="1" operator="lessThan">
      <formula>0.7</formula>
    </cfRule>
    <cfRule type="cellIs" dxfId="23" priority="2" operator="greaterThanOrEqual">
      <formula>0.7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2025-02-04T15:45:21Z</dcterms:created>
  <dcterms:modified xsi:type="dcterms:W3CDTF">2026-02-08T14:12:27Z</dcterms:modified>
  <cp:category/>
  <cp:contentStatus/>
</cp:coreProperties>
</file>